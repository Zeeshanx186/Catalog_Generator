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eshan.yaqoob\Downloads\"/>
    </mc:Choice>
  </mc:AlternateContent>
  <xr:revisionPtr revIDLastSave="0" documentId="13_ncr:1_{CBB06CD6-DD36-4FEF-B742-405B103BC167}" xr6:coauthVersionLast="47" xr6:coauthVersionMax="47" xr10:uidLastSave="{00000000-0000-0000-0000-000000000000}"/>
  <bookViews>
    <workbookView xWindow="-108" yWindow="-108" windowWidth="23256" windowHeight="12456" tabRatio="796" xr2:uid="{00000000-000D-0000-FFFF-FFFF00000000}"/>
  </bookViews>
  <sheets>
    <sheet name="MW &amp; WHCP " sheetId="40" r:id="rId1"/>
  </sheets>
  <externalReferences>
    <externalReference r:id="rId2"/>
  </externalReferences>
  <definedNames>
    <definedName name="_xlnm._FilterDatabase" localSheetId="0" hidden="1">'MW &amp; WHCP '!$A$2:$E$2</definedName>
    <definedName name="AC_DC_Pwr_Type" localSheetId="0">#REF!</definedName>
    <definedName name="AC_DC_Pwr_Type">#REF!</definedName>
    <definedName name="Ann_Connect" localSheetId="0">#REF!</definedName>
    <definedName name="Ann_Connect">#REF!</definedName>
    <definedName name="Area_class" localSheetId="0">#REF!</definedName>
    <definedName name="Area_class">#REF!</definedName>
    <definedName name="Cbl_Entry" localSheetId="0">#REF!</definedName>
    <definedName name="Cbl_Entry">#REF!</definedName>
    <definedName name="Cbl_Mrk_Type" localSheetId="0">#REF!</definedName>
    <definedName name="Cbl_Mrk_Type">#REF!</definedName>
    <definedName name="Cert_Panel" localSheetId="0">#REF!</definedName>
    <definedName name="Cert_Panel">#REF!</definedName>
    <definedName name="Coating" localSheetId="0">#REF!</definedName>
    <definedName name="Coating">#REF!</definedName>
    <definedName name="Crt_Brk" localSheetId="0">#REF!</definedName>
    <definedName name="Crt_Brk">#REF!</definedName>
    <definedName name="Date">#REF!</definedName>
    <definedName name="DIN_rail" localSheetId="0">#REF!</definedName>
    <definedName name="DIN_rail">#REF!</definedName>
    <definedName name="Document_No.">'[1]Document Index'!$B$2:$B$52</definedName>
    <definedName name="Door_Handle" localSheetId="0">#REF!</definedName>
    <definedName name="Door_Handle">#REF!</definedName>
    <definedName name="E_LAN" localSheetId="0">#REF!</definedName>
    <definedName name="E_LAN">#REF!</definedName>
    <definedName name="E_LAN_Connect" localSheetId="0">#REF!</definedName>
    <definedName name="E_LAN_Connect">#REF!</definedName>
    <definedName name="E_LAN_Manu" localSheetId="0">#REF!</definedName>
    <definedName name="E_LAN_Manu">#REF!</definedName>
    <definedName name="E_LAN_speed" localSheetId="0">#REF!</definedName>
    <definedName name="E_LAN_speed">#REF!</definedName>
    <definedName name="E_LAN_Switch" localSheetId="0">#REF!</definedName>
    <definedName name="E_LAN_Switch">#REF!</definedName>
    <definedName name="Ex_Protec_System" localSheetId="0">#REF!</definedName>
    <definedName name="Ex_Protec_System">#REF!</definedName>
    <definedName name="Ext_Pwr_Source" localSheetId="0">#REF!</definedName>
    <definedName name="Ext_Pwr_Source">#REF!</definedName>
    <definedName name="Feeder_Type" localSheetId="0">#REF!</definedName>
    <definedName name="Feeder_Type">#REF!</definedName>
    <definedName name="FO" localSheetId="0">#REF!</definedName>
    <definedName name="FO">#REF!</definedName>
    <definedName name="FO_connect" localSheetId="0">#REF!</definedName>
    <definedName name="FO_connect">#REF!</definedName>
    <definedName name="FO_Mode" localSheetId="0">#REF!</definedName>
    <definedName name="FO_Mode">#REF!</definedName>
    <definedName name="FTA_Assemb" localSheetId="0">#REF!</definedName>
    <definedName name="FTA_Assemb">#REF!</definedName>
    <definedName name="Fuse_Indic" localSheetId="0">#REF!</definedName>
    <definedName name="Fuse_Indic">#REF!</definedName>
    <definedName name="Gas_Group" localSheetId="0">#REF!</definedName>
    <definedName name="Gas_Group">#REF!</definedName>
    <definedName name="Glnd_Material" localSheetId="0">#REF!</definedName>
    <definedName name="Glnd_Material">#REF!</definedName>
    <definedName name="Graph_Win_Type" localSheetId="0">#REF!</definedName>
    <definedName name="Graph_Win_Type">#REF!</definedName>
    <definedName name="Location" localSheetId="0">#REF!</definedName>
    <definedName name="Location">#REF!</definedName>
    <definedName name="Material" localSheetId="0">#REF!</definedName>
    <definedName name="Material">#REF!</definedName>
    <definedName name="Max_Surf_Temp" localSheetId="0">#REF!</definedName>
    <definedName name="Max_Surf_Temp">#REF!</definedName>
    <definedName name="MIMIC_Type" localSheetId="0">#REF!</definedName>
    <definedName name="MIMIC_Type">#REF!</definedName>
    <definedName name="Monitor_Type" localSheetId="0">#REF!</definedName>
    <definedName name="Monitor_Type">#REF!</definedName>
    <definedName name="Mounting" localSheetId="0">#REF!</definedName>
    <definedName name="Mounting">#REF!</definedName>
    <definedName name="Name_Plt" localSheetId="0">#REF!</definedName>
    <definedName name="Name_Plt">#REF!</definedName>
    <definedName name="NEMA_IP_Rating" localSheetId="0">#REF!</definedName>
    <definedName name="NEMA_IP_Rating">#REF!</definedName>
    <definedName name="Panel_Eqp" localSheetId="0">#REF!</definedName>
    <definedName name="Panel_Eqp">#REF!</definedName>
    <definedName name="Panel_Manufac" localSheetId="0">#REF!</definedName>
    <definedName name="Panel_Manufac">#REF!</definedName>
    <definedName name="PC" localSheetId="0">#REF!</definedName>
    <definedName name="PC">#REF!</definedName>
    <definedName name="Pnl_Label" localSheetId="0">#REF!</definedName>
    <definedName name="Pnl_Label">#REF!</definedName>
    <definedName name="_xlnm.Print_Area" localSheetId="0">'MW &amp; WHCP '!$A$1:$E$144</definedName>
    <definedName name="_xlnm.Print_Titles" localSheetId="0">'MW &amp; WHCP '!$1:$2</definedName>
    <definedName name="Rev">#REF!</definedName>
    <definedName name="Termination_IOs" localSheetId="0">#REF!</definedName>
    <definedName name="Termination_IOs">#REF!</definedName>
    <definedName name="Type_Pwr_Source" localSheetId="0">#REF!</definedName>
    <definedName name="Type_Pwr_Source">#REF!</definedName>
    <definedName name="Units" localSheetId="0">#REF!</definedName>
    <definedName name="Units">#REF!</definedName>
    <definedName name="Wire_Color_Code" localSheetId="0">#REF!</definedName>
    <definedName name="Wire_Color_Code">#REF!</definedName>
    <definedName name="Y_N" localSheetId="0">#REF!</definedName>
    <definedName name="Y_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0" l="1"/>
  <c r="A238" i="40"/>
  <c r="A232" i="40"/>
  <c r="A217" i="40"/>
  <c r="A189" i="40"/>
  <c r="A151" i="40"/>
  <c r="A69" i="40"/>
  <c r="A6" i="40"/>
  <c r="A70" i="40" l="1"/>
  <c r="A152" i="40"/>
  <c r="A153" i="40" s="1"/>
  <c r="A154" i="40" s="1"/>
  <c r="A155" i="40" s="1"/>
  <c r="A233" i="40"/>
  <c r="A234" i="40" s="1"/>
  <c r="A218" i="40"/>
  <c r="A219" i="40" s="1"/>
  <c r="A220" i="40" s="1"/>
  <c r="A221" i="40" s="1"/>
  <c r="A222" i="40" s="1"/>
  <c r="A223" i="40" s="1"/>
  <c r="A224" i="40" s="1"/>
  <c r="A225" i="40" s="1"/>
  <c r="A190" i="40"/>
  <c r="A191" i="40" s="1"/>
  <c r="A192" i="40" s="1"/>
  <c r="A193" i="40" s="1"/>
  <c r="A194" i="40" s="1"/>
  <c r="A195" i="40" s="1"/>
  <c r="A196" i="40" s="1"/>
  <c r="A197" i="40" s="1"/>
  <c r="A198" i="40" s="1"/>
  <c r="A199" i="40" s="1"/>
  <c r="A200" i="40" s="1"/>
  <c r="A201" i="40" s="1"/>
  <c r="A202" i="40" s="1"/>
  <c r="A203" i="40" s="1"/>
  <c r="A204" i="40" s="1"/>
  <c r="A205" i="40" s="1"/>
  <c r="A206" i="40" s="1"/>
  <c r="A207" i="40" s="1"/>
  <c r="A208" i="40" s="1"/>
  <c r="A209" i="40" s="1"/>
  <c r="A210" i="40" s="1"/>
  <c r="A211" i="40" s="1"/>
  <c r="A212" i="40" s="1"/>
  <c r="A213" i="40" s="1"/>
  <c r="A214" i="40" s="1"/>
  <c r="A239" i="40"/>
  <c r="A240" i="40" s="1"/>
  <c r="A241" i="40" s="1"/>
  <c r="A242" i="40" s="1"/>
  <c r="A226" i="40" l="1"/>
  <c r="A227" i="40" s="1"/>
  <c r="A228" i="40" s="1"/>
  <c r="A229" i="40" s="1"/>
  <c r="A156" i="40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235" i="40"/>
  <c r="A71" i="40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63" i="40"/>
  <c r="A64" i="40" s="1"/>
  <c r="A65" i="40" s="1"/>
  <c r="A66" i="40" s="1"/>
  <c r="A84" i="40" l="1"/>
  <c r="A85" i="40" s="1"/>
  <c r="A86" i="40" s="1"/>
  <c r="A87" i="40" s="1"/>
  <c r="A88" i="40" s="1"/>
  <c r="A89" i="40" s="1"/>
  <c r="A90" i="40" s="1"/>
  <c r="A91" i="40" s="1"/>
  <c r="A92" i="40" s="1"/>
  <c r="A83" i="40"/>
  <c r="A170" i="40"/>
  <c r="A171" i="40" s="1"/>
  <c r="A172" i="40" s="1"/>
  <c r="A173" i="40" s="1"/>
  <c r="A174" i="40" s="1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A185" i="40" s="1"/>
  <c r="A186" i="40" s="1"/>
  <c r="A38" i="40"/>
  <c r="A39" i="40" s="1"/>
  <c r="A40" i="40" s="1"/>
  <c r="A41" i="40" s="1"/>
  <c r="A42" i="40" s="1"/>
  <c r="A43" i="40" s="1"/>
  <c r="A45" i="40" s="1"/>
  <c r="A46" i="40" s="1"/>
  <c r="A47" i="40" s="1"/>
  <c r="A48" i="40" s="1"/>
  <c r="A49" i="40" s="1"/>
  <c r="A50" i="40" s="1"/>
  <c r="A51" i="40" s="1"/>
  <c r="A136" i="40"/>
  <c r="A137" i="40" s="1"/>
  <c r="A138" i="40" s="1"/>
  <c r="A139" i="40" s="1"/>
  <c r="A140" i="40" s="1"/>
  <c r="A141" i="40" s="1"/>
  <c r="A142" i="40" s="1"/>
  <c r="A143" i="40" s="1"/>
  <c r="A144" i="40" s="1"/>
  <c r="A126" i="40"/>
  <c r="A127" i="40" s="1"/>
  <c r="A128" i="40" s="1"/>
  <c r="A129" i="40" s="1"/>
  <c r="A130" i="40" s="1"/>
  <c r="A131" i="40" s="1"/>
  <c r="A132" i="40" s="1"/>
  <c r="A133" i="40" s="1"/>
  <c r="A108" i="40"/>
  <c r="A109" i="40" s="1"/>
  <c r="A110" i="40" s="1"/>
  <c r="A111" i="40" s="1"/>
  <c r="A112" i="40" s="1"/>
  <c r="A113" i="40" s="1"/>
  <c r="A114" i="40" s="1"/>
  <c r="A116" i="40" l="1"/>
  <c r="A117" i="40" s="1"/>
  <c r="A118" i="40" s="1"/>
  <c r="A119" i="40" s="1"/>
  <c r="A120" i="40" s="1"/>
  <c r="A121" i="40" s="1"/>
  <c r="A122" i="40" s="1"/>
  <c r="A123" i="40" s="1"/>
  <c r="A115" i="40"/>
  <c r="A53" i="40"/>
  <c r="A54" i="40" s="1"/>
  <c r="A55" i="40" s="1"/>
  <c r="A56" i="40" s="1"/>
  <c r="A57" i="40" s="1"/>
  <c r="A58" i="40" s="1"/>
  <c r="A59" i="40" s="1"/>
  <c r="A60" i="40" s="1"/>
  <c r="A52" i="40"/>
  <c r="A4" i="40"/>
  <c r="A7" i="40" s="1"/>
  <c r="A8" i="40" s="1"/>
  <c r="A9" i="40" s="1"/>
  <c r="A10" i="40" s="1"/>
  <c r="A11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l="1"/>
  <c r="A32" i="40" s="1"/>
  <c r="A33" i="40" s="1"/>
  <c r="A34" i="40" s="1"/>
  <c r="A35" i="40" s="1"/>
</calcChain>
</file>

<file path=xl/sharedStrings.xml><?xml version="1.0" encoding="utf-8"?>
<sst xmlns="http://schemas.openxmlformats.org/spreadsheetml/2006/main" count="607" uniqueCount="394">
  <si>
    <r>
      <t xml:space="preserve">BILL OF MATERIALS (MAIN WELL)
</t>
    </r>
    <r>
      <rPr>
        <sz val="10"/>
        <rFont val="Arial"/>
        <family val="2"/>
      </rPr>
      <t>Reference Drawing: 090-2010-JJJ-GAD-20009</t>
    </r>
  </si>
  <si>
    <t>Sr. No.</t>
  </si>
  <si>
    <t>Description</t>
  </si>
  <si>
    <t>Manufacturer</t>
  </si>
  <si>
    <t>Model No.</t>
  </si>
  <si>
    <t>Qty.</t>
  </si>
  <si>
    <t>RITTAL</t>
  </si>
  <si>
    <t>VX BAYING ENCLOSURE SYSTEM, WHD: 800X2000X800 MM, SHEET STEEL, WITH MOUNTING PLATE, SINGLE DOOR AT THE FRONT</t>
  </si>
  <si>
    <t>8808000</t>
  </si>
  <si>
    <t>VX SIDE PANEL SCREW-FIXED HD:2000X800MM (PACK OF 02)</t>
  </si>
  <si>
    <t>BASE/PLINTH CORNER PIECES WITH BASE/PLINTH TRIM PANELS, FRONT AND REAR FOR BASE/PLINTH SYSTEM VX, SHEET STEEL (H: 100 MM, FOR W: 800 MM) (PACK OF 02)</t>
  </si>
  <si>
    <t>VX BASE/PLINTH TRIM PANEL, SIDE, H: 100 MM, FOR D: 800 MM, SHEET STEEL (PACK OF 02)</t>
  </si>
  <si>
    <t>COMFORT HANDLE, FOR LOCK INSERT + PADLOCK</t>
  </si>
  <si>
    <t>TS LOCK INSERT FOR HANDLE</t>
  </si>
  <si>
    <t>LED LIGHT WITHOUT SOCKET &amp; MOTION SENSOR, 100 - 240VAC</t>
  </si>
  <si>
    <t>DOOR OPERATED SWITCH WITH CONNECTION CABLE</t>
  </si>
  <si>
    <t>SK BLUE E+ FILTER FAN, 110/125 M³/H, 230 V, 1~, 50 HZ/60 HZ, WHD 204 X 204 X 105 MM, RAL 7035</t>
  </si>
  <si>
    <t>SK BLUE E+ OUTLET FILTER, FOR FAN-AND-FILTER UNIT 3239.7XX, WH 204 X 204 MM, RAL 7035</t>
  </si>
  <si>
    <t>EYEBOLTS (SET OF 4)</t>
  </si>
  <si>
    <t>VX BAYING CONNECTORS, EXTERNAL (PACK OF 6)</t>
  </si>
  <si>
    <t>VX ANGULAR BAYING BRACKET ( PACK OF 4)</t>
  </si>
  <si>
    <t>VX BAYING BRACKET, INTERNAL (PACK OF 6)</t>
  </si>
  <si>
    <t>COMBINATION ANGLE (PACK OF 4)</t>
  </si>
  <si>
    <t>WIRING PLAN POCKET, A3 SIZE</t>
  </si>
  <si>
    <t>DK7113 EARTH RAIL 450 MM LONG</t>
  </si>
  <si>
    <t>THERMOSTAT</t>
  </si>
  <si>
    <t>VX MOUNTING RAIL18X38MM FOR (PACK OF 4)</t>
  </si>
  <si>
    <t>SZ CONNECTION CABLE, FOR THROUGH-WIRING, 3-POLE, 100-</t>
  </si>
  <si>
    <t>BAYING COVER TOP</t>
  </si>
  <si>
    <t>EMC BAYING SEAL</t>
  </si>
  <si>
    <t>DOOR STAY</t>
  </si>
  <si>
    <t>SWING FRAME, LARGE</t>
  </si>
  <si>
    <t>SWING FRAME DIVIDER KIT</t>
  </si>
  <si>
    <t>BLANKING PANEL</t>
  </si>
  <si>
    <t>UTILITY LECTERN</t>
  </si>
  <si>
    <t>VX PUNCHED SECTION, WITH MOUNTING FLANGE 18 X 64 MM
(PACK OF 4)</t>
  </si>
  <si>
    <t>POWER SOCKET 220VAC</t>
  </si>
  <si>
    <t>VX 180 DEGREE HINGE FOR SWING FRAME, LARGE</t>
  </si>
  <si>
    <t>VX 180 DEGREE HINGE FOR CABINET DOOR (PACK OF 4)</t>
  </si>
  <si>
    <t>ALLEN BRADLEY</t>
  </si>
  <si>
    <t>4 SLOT CONTROLLOGIX CHASSIS</t>
  </si>
  <si>
    <t>1756-A4K</t>
  </si>
  <si>
    <t>24 VDC POWER SUPPLY</t>
  </si>
  <si>
    <t>1756-PB75K</t>
  </si>
  <si>
    <t>LOGIX5580 PROCESSOR WITH 05 MBYTES MEMORY</t>
  </si>
  <si>
    <t>1756-L82EXT</t>
  </si>
  <si>
    <t>CONTROLLOGIX REDUNDANCY MODULE</t>
  </si>
  <si>
    <t>1756-RM2K</t>
  </si>
  <si>
    <t>ETHERNET DUAL PORT 10-100M RING MODULE</t>
  </si>
  <si>
    <t>1756-EN2TRK</t>
  </si>
  <si>
    <t>ETHERNET 10-100M INTERFACE MODULE</t>
  </si>
  <si>
    <t>1756-EN2TK</t>
  </si>
  <si>
    <t>CONTROLLOGIX REDUNDANCY FIBER CABLE</t>
  </si>
  <si>
    <t>1756-RMC3</t>
  </si>
  <si>
    <t>10 SLOT CONTROLLOGIX CHASSIS</t>
  </si>
  <si>
    <t>1756-А10K</t>
  </si>
  <si>
    <t>REDUNDANT POWER SUPPLY</t>
  </si>
  <si>
    <t>1756-PB75RK</t>
  </si>
  <si>
    <t>REDUNDANT POWER SUPPLY CHASSIS ADAPTER MODULE</t>
  </si>
  <si>
    <t>1756-PSCA2K</t>
  </si>
  <si>
    <t>REDUNDANT POWER SUPPLY CABLE</t>
  </si>
  <si>
    <t>1756-CPR2</t>
  </si>
  <si>
    <t>CONTROLLOGIX 16 POINT DIGITAL INPUT</t>
  </si>
  <si>
    <t>1756-IB16K</t>
  </si>
  <si>
    <t>CONTROLLOGIX 08 POINT ANALOG INPUT</t>
  </si>
  <si>
    <t>1756-IF8K</t>
  </si>
  <si>
    <t>CONTROLLOGIX 16 POINT DIGITAL OUTPUT</t>
  </si>
  <si>
    <t>1756-OB16EK</t>
  </si>
  <si>
    <t>CONTROLLOGIX 8 POINT ANALOG OUTPUT</t>
  </si>
  <si>
    <t>1756-OF8K</t>
  </si>
  <si>
    <t>AB CABLE FOR DIGITAL IO MODULE, 20 CONDUCTOR, 18AWG, 5M</t>
  </si>
  <si>
    <t>1492-CABLE050TBNH</t>
  </si>
  <si>
    <t>AB CABLE FOR ANALOG INPUT MODULE, 20 CONDUCTOR, 22AWG SHIELDED, 5M</t>
  </si>
  <si>
    <t>1492-ACABLE050TB</t>
  </si>
  <si>
    <t>AB CABLE FOR ANALOG OUTPUT MODULE, 20 CONDUCTOR, 22AWG SHIELDED, 5M</t>
  </si>
  <si>
    <t>1492-ACABLE050WB</t>
  </si>
  <si>
    <t>EMPTY SLOT FILLER CARD</t>
  </si>
  <si>
    <t>1756-N2</t>
  </si>
  <si>
    <t>PANELVIEW PLUS 7 PERFORMANCE , TWO 10/100BASE-T, 12"</t>
  </si>
  <si>
    <t>2711P-T12W22D9PK</t>
  </si>
  <si>
    <t>MODBUS TCP/IP INTERFACE MODULE.</t>
  </si>
  <si>
    <t>PROSOFT</t>
  </si>
  <si>
    <t>MVI56E-MNET-CC</t>
  </si>
  <si>
    <t>MODBUS TCP/IP SERIAL COMMUNICATION MODULE.</t>
  </si>
  <si>
    <t>MVI56E-MCM-CC</t>
  </si>
  <si>
    <t>MTL BARRIERS</t>
  </si>
  <si>
    <t>ANALOG INPUT-REPEATER  POWER SUPPLY, 4-20MA, SMART, 2-CH</t>
  </si>
  <si>
    <t>MTL</t>
  </si>
  <si>
    <t>MTL 5544</t>
  </si>
  <si>
    <t>ANALOG INPUT-FIRE AND SMOKE  DETECTOR INTERFACE, 2-CH</t>
  </si>
  <si>
    <t>MTL 5561</t>
  </si>
  <si>
    <t>ANALOG INPUT-REPEATER POWER SUPPLY 4-20MA, SMART, 1-CH</t>
  </si>
  <si>
    <t>MTL 5541</t>
  </si>
  <si>
    <t>ANALOG OUTPUT-ISOLATING DRIVER 4–20MA SMART VALVE POSITIONERS, 2-CH</t>
  </si>
  <si>
    <t>MTL 5549/Y</t>
  </si>
  <si>
    <t>DIGITAL INPUT-SWITCH/ PROXIMITY DETECTOR INTERFACE, 2-CH</t>
  </si>
  <si>
    <t>MTL 5516C</t>
  </si>
  <si>
    <t>HIMA</t>
  </si>
  <si>
    <t>BASE RACK H51X, 19 INCHES, 4 UNITS HIGH</t>
  </si>
  <si>
    <t>F-BASE RACK 01</t>
  </si>
  <si>
    <t>PROCESSOR MODULE H51X, H41X (2X RJ-45, SIL 3)</t>
  </si>
  <si>
    <t>F-CPU 01</t>
  </si>
  <si>
    <t>POWER SUPPLY MODULE 24 VDC / 5 VDC, 50 W, H41X, H51X</t>
  </si>
  <si>
    <t>F-PWR 01</t>
  </si>
  <si>
    <t>WATCHDOG SUPPLY MODULE FOR EXTENSION RACK, H51X</t>
  </si>
  <si>
    <t>F-PWR 02</t>
  </si>
  <si>
    <t>COMMUNICATION MODULE FOR ETHERNET, PROFIBUS DP AND SERIAL COMMUNICATION 2X RJ-45, 1 X 9-POLE D-SUB (2X RS 485), CONFORMAL COATED</t>
  </si>
  <si>
    <t>F-COM 01</t>
  </si>
  <si>
    <t xml:space="preserve">LICENSE FOR MODBUS TCP SLAVE </t>
  </si>
  <si>
    <t>COVER PLATE (1 SLOT, 19-INCH SYSTEM)</t>
  </si>
  <si>
    <t>F-BLK 01</t>
  </si>
  <si>
    <t>EXTENSION RACK H41X, H51X, H51Q, 19 INCHES,4 UNITS HIGH, 16 SLOTS FOR I/O MODULES</t>
  </si>
  <si>
    <t>F-BASE RACK 11</t>
  </si>
  <si>
    <t>I/O PROCESSING MODULE (SIL 3) WITH REDUNDANT SYSTEM BUS</t>
  </si>
  <si>
    <t>F-IOP 01</t>
  </si>
  <si>
    <t>8CHANNEL SAFETY-RELATED ANALOG INPUT MODULE FOR F&amp;G, SIL 3/CAT.4, FOR CURRENT AND VOLTAGE</t>
  </si>
  <si>
    <t>F6217</t>
  </si>
  <si>
    <t>CABLE PLUG, WIRED WITH 5M CABLE PLUG R1 AND R2 FOR REDUNDANT INPUTS</t>
  </si>
  <si>
    <t>Z 7127/6217/C5/I/R</t>
  </si>
  <si>
    <t>16CHANNEL SAFETY-RELATED DIGITAL INPUT MODULE FOR F&amp;G, SIL 3/CAT.4</t>
  </si>
  <si>
    <t>F3236</t>
  </si>
  <si>
    <t xml:space="preserve">LED CABLE PLUG, WIRED WITH 5M CABLE, PLUG R1 and R2 FOR REDUNDANT INPUTS </t>
  </si>
  <si>
    <t>Z 7116/3236/C5/R</t>
  </si>
  <si>
    <t>8CHANNEL SAFETY-RELATED OUTPUT MODULE FOR F&amp;G, 12 W, SIL 3/CAT.4</t>
  </si>
  <si>
    <t>F3330</t>
  </si>
  <si>
    <t>LED CABLE PLUG, WIRED WITH 5M CABLE</t>
  </si>
  <si>
    <t>Z 7138/3330/C5</t>
  </si>
  <si>
    <t>8CHANNEL SAFETY-RELATED OUTPUT MODULE FOR F&amp;G, 12 W, SIL 3/CAT.4 WITH LINE MONITORING</t>
  </si>
  <si>
    <t>F3331</t>
  </si>
  <si>
    <t>Z 7138/3331/C5</t>
  </si>
  <si>
    <t>4CHANNEL SAFETY-RELATED OUTPUT MODULE, 25 W, SIL 3/CAT.4 WITH LINE MONITORING</t>
  </si>
  <si>
    <t>F3334</t>
  </si>
  <si>
    <t>Z 7134/3334/C5</t>
  </si>
  <si>
    <t>4FOLD POWER DISTRIBUTION FOR H51Q, H51Q FOR IO RACK B9302 INCLUSIVE MINIATURE FUSE 5X20, 4 A-T, H</t>
  </si>
  <si>
    <t>F7133</t>
  </si>
  <si>
    <t>RACK FAN</t>
  </si>
  <si>
    <t>K 9203A</t>
  </si>
  <si>
    <t>INDUSTRY PATCH CABLE GREEN 1:1, RJ 45-CAT6 L=1M</t>
  </si>
  <si>
    <t>INDUSTRY PATCH CABLE RED 1:1, RJ 45-CAT6 L=1M</t>
  </si>
  <si>
    <t>MAIN POWER FILTER, 24VDC</t>
  </si>
  <si>
    <t>H7034</t>
  </si>
  <si>
    <t xml:space="preserve">CISCO  </t>
  </si>
  <si>
    <t>CISCO CATALYST IE3300 RUGGED SERIES MODULAR SYSTEM, NETWORK ESSENTIALS</t>
  </si>
  <si>
    <t>CISCO</t>
  </si>
  <si>
    <t>IE-3300-8T2S-E</t>
  </si>
  <si>
    <t>100BASE-LX10 RUGGED SFP FOR FAST ETHERNET SFP PORTS</t>
  </si>
  <si>
    <t>GLC-FE-100LX-RGD</t>
  </si>
  <si>
    <t>MOXA</t>
  </si>
  <si>
    <t>MOXA 16 PORT UNMANAGED ETHERNET SWITCH W/(14) 10/100BTX PORTS &amp; (2) SINGLE-MODE SC FIBER PORTS (EXTENDED TEMPERATURE MODEL)</t>
  </si>
  <si>
    <t>EDS-316-SS-SC-T</t>
  </si>
  <si>
    <t>MOXA MGATE 3270 2PORT RS232/422/485 MODBUS TCP TO SERIAL GATEWAY WITH 2KV OPTICAL ISOLATION
EXTENDED TEMPERATURE RANGE -40F TO 167F</t>
  </si>
  <si>
    <t xml:space="preserve">MB3270I-T </t>
  </si>
  <si>
    <t>HONEYWELL PDB</t>
  </si>
  <si>
    <t>POWER DISTRIBUTION BOARD 8CH, 24VDC, 2A, CC</t>
  </si>
  <si>
    <t>HONEYWELL</t>
  </si>
  <si>
    <t>FC-PDB-0824P</t>
  </si>
  <si>
    <t xml:space="preserve">DC-DC CONVERTER  </t>
  </si>
  <si>
    <t>CHASSIS MOUNT DC-DC CONVERTER, 7.5A</t>
  </si>
  <si>
    <t>TRACO POWER</t>
  </si>
  <si>
    <t>TEP 200-2415WIRCMF</t>
  </si>
  <si>
    <t>GM INTERNATIONAL</t>
  </si>
  <si>
    <t>SIL-3 RELAY LOW-V MODULE FOR 5A NE/ND LOADS WITH LFD</t>
  </si>
  <si>
    <t>GMI</t>
  </si>
  <si>
    <t>D5096S</t>
  </si>
  <si>
    <t xml:space="preserve">PANEL CONSUMABLES </t>
  </si>
  <si>
    <t>WEIDMULLER</t>
  </si>
  <si>
    <t>SCHT 5 TAG CARRIER, 44.5 X 9.5 MM, BEIGE</t>
  </si>
  <si>
    <t>WAP 2.5-10 W-SERIES END PLATE</t>
  </si>
  <si>
    <t>WEW 35/2 W-SERIES END BRACKET</t>
  </si>
  <si>
    <t>WSI 6/LD 10-36V DC/AC, FUSE TERMINAL, SCREW CONNECTION, 6 MM², DARK BEIGE</t>
  </si>
  <si>
    <t>WDU 10, 10MM SQ, FEED THROUGH TERMINAL BEIGE,</t>
  </si>
  <si>
    <t>WPE 10, PE TERMINAL, SCREW CONNECTION, 10 MM², GREEN / YELLOW</t>
  </si>
  <si>
    <t>WDU 35, 35MM SQ, FEED THROUGH TERMINAL BEIGE,</t>
  </si>
  <si>
    <t>WPE 35, 35MM SQ, GREEN / YELLOW</t>
  </si>
  <si>
    <t>WQV 10/10, W SERIES CROSS CONNECTOR 10 POLE</t>
  </si>
  <si>
    <t>QB 58/8/9/WI, SAK SERIES, CROSS-CONNECTOR, NO. OF POLES: 58</t>
  </si>
  <si>
    <t>ISPF QB58, INSULATION PROFILE, RED</t>
  </si>
  <si>
    <t>WTR 4, TEST DISCONNECT TERMINAL, 4MM SQ, BEIGE</t>
  </si>
  <si>
    <t>ZQV 4N/10, GE, CROSS CONNECTOR 32A, 10 POLE</t>
  </si>
  <si>
    <t>WTR 2.5, TEST DISCONNECT, 2.5MM SQ,</t>
  </si>
  <si>
    <t>WPE 2.5, 2.5MM SQ, EARTH TERMINAL SCREW</t>
  </si>
  <si>
    <t>WTR 2.5MM SQ BLUE, TEST DISCONNECT TERMINAL</t>
  </si>
  <si>
    <t>PHOENIX CONTACT</t>
  </si>
  <si>
    <t>HF Duct 40x100 GREY</t>
  </si>
  <si>
    <t>HF Duct 60x100 GREY</t>
  </si>
  <si>
    <t>HF Duct 80x100 GREY</t>
  </si>
  <si>
    <t>HF Duct 100x100 GREY</t>
  </si>
  <si>
    <t>HF Duct 100x100 BLUE</t>
  </si>
  <si>
    <t>DIN Rail (pack of 100)</t>
  </si>
  <si>
    <t>End Piece (pack of 100)</t>
  </si>
  <si>
    <t>220VAC Relays</t>
  </si>
  <si>
    <t>RJ-45 DIN RAIL ADAPTOR - NBC-PP-J1PGY-S/R4IDC8</t>
  </si>
  <si>
    <t>SCHNEIDER</t>
  </si>
  <si>
    <t>LINERGY FH, HORIZONTAL COMB BUSBAR FOR 18 MM PITCH</t>
  </si>
  <si>
    <t>A9XAH257</t>
  </si>
  <si>
    <t>iOF OPEN/CLOSE AUXILIARY CONTACT</t>
  </si>
  <si>
    <t>A9A26924</t>
  </si>
  <si>
    <t>iC60N, MINIATURE CIRCUIT BREAKER, 1A, 2-POLE, CURVE-C</t>
  </si>
  <si>
    <t>A9F44201</t>
  </si>
  <si>
    <t>iC60N, MINIATURE CIRCUIT BREAKER, 2A, 2-POLE, CURVE-C</t>
  </si>
  <si>
    <t>A9F44202</t>
  </si>
  <si>
    <t>iC60N, MINIATURE CIRCUIT BREAKER, 4A, 2-POLE, CURVE-C</t>
  </si>
  <si>
    <t>A9F44204</t>
  </si>
  <si>
    <t>iC60N, MINIATURE CIRCUIT BREAKER, 10A, 2-POLE, CURVE-C</t>
  </si>
  <si>
    <t>A9F44210</t>
  </si>
  <si>
    <t>iC60N, MINIATURE CIRCUIT BREAKER, 16A, 2-POLE, CURVE-C</t>
  </si>
  <si>
    <t>A9F44216</t>
  </si>
  <si>
    <t>iC60N, MINIATURE CIRCUIT BREAKER, 63A, 2-POLE, CURVE-C</t>
  </si>
  <si>
    <t>A9F44263</t>
  </si>
  <si>
    <t>ACTI 9 IDPN N VIGI - RCBO - 1 P+N - 6A - C CURVE - 30mA - TYPE AC</t>
  </si>
  <si>
    <t>A9D31606</t>
  </si>
  <si>
    <t>iC60N, MINIATURE CIRCUIT BREAKER, 6A, 2-POLE, CURVE-C</t>
  </si>
  <si>
    <t>A9F44206</t>
  </si>
  <si>
    <r>
      <t xml:space="preserve">BILL OF MATERIALS (WHCP Hydraulic/Pneumatic - TYPICAL)
</t>
    </r>
    <r>
      <rPr>
        <sz val="10"/>
        <rFont val="Arial"/>
        <family val="2"/>
      </rPr>
      <t>Reference Drawing: 090-2010-JJJ-GAD-20008</t>
    </r>
  </si>
  <si>
    <t>Sr #</t>
  </si>
  <si>
    <t>Item Description</t>
  </si>
  <si>
    <t>Part No</t>
  </si>
  <si>
    <t>Qty</t>
  </si>
  <si>
    <t>BALL VALVE, 3-WAY; 1/4"NPTF; COMPONENT  RATING 55 Barg; PROOF PRESSURE RATING 55 Barg</t>
  </si>
  <si>
    <t>APOLLO (ALJAC)</t>
  </si>
  <si>
    <t>76-601-01A</t>
  </si>
  <si>
    <t>CHECK VALVE, NACE; 1/4 HP FEMALE; COMPONENT  RATING 2069 Barg; PROOF PRESSURE RATING 2069 Barg</t>
  </si>
  <si>
    <t>AUTOCLAVE</t>
  </si>
  <si>
    <t>CB4401-SOG</t>
  </si>
  <si>
    <t>BALL VALVE, NACE; 1/4" HP FEMALE; COMPONENT RATING 1380 Barg; PROOF PRESSURE RATING 1380 Barg</t>
  </si>
  <si>
    <t>BUTECH</t>
  </si>
  <si>
    <t>KW204-23-23-SOG</t>
  </si>
  <si>
    <t>NEEDLE VALVE, 2-WAY NACE; 1/4" HP FEMALE; COMPONENT RATING 1379 Barg; PROOF PRESSURE RATING 1379 Barg</t>
  </si>
  <si>
    <t>30VM4001-SOG</t>
  </si>
  <si>
    <t>VALVE MANIFOLD, 3-WAY,NACE; 1/4' HP FEMALE; COMPONENT RATING 1379 Barg; PROOF PRESSURE RATING 1379 Barg</t>
  </si>
  <si>
    <t>30VM4005-SOG</t>
  </si>
  <si>
    <t>BALL VALVE, 3-WAY, NACE; 1/4"HP FEMALE; COMPONENT RATING 1379 Barg; PROOF PRESSURE RATING 1379 Barg</t>
  </si>
  <si>
    <t>3B3S09H4-SOG</t>
  </si>
  <si>
    <t>SUCTION STRAINER, 600 MESH; 1/2" NPTF; COMPONENT  RATING 100 Barg</t>
  </si>
  <si>
    <t>BARTON FIRTOP</t>
  </si>
  <si>
    <t>YSF/BFI/015/NPT/351</t>
  </si>
  <si>
    <t>SOLENOID VALVE, 3-WAY, N.C., PORTED SUB-BASE (M1046), EExd IIC T6 24VDC, NACE; 1/4" HP FEMALE; COMPONENT  RATING 690 Barg</t>
  </si>
  <si>
    <t>BIFOLD</t>
  </si>
  <si>
    <t>FP01/S3/M/32/NC/SA/77A-24D/30- H2S(M1046)</t>
  </si>
  <si>
    <t>SOLENOID VALVE, 3-WAY, N.C., BODY PORTED, EExd IIC T6 24VDC; 1/4" NPTF; COMPONENT  RATING 35 Barg; PROOF PRESSURE RATING 35 Barg</t>
  </si>
  <si>
    <t>FP10P-S3-04-32-NU-V-77A9-24D-57-
03</t>
  </si>
  <si>
    <t>INLET RELIEF VALVE, (SET @ 660 BARG); 1/4" MP IN, 1/4" NPTF OUT; COMPONENT  RATING 1035 Barg; PROOF PRESSURE RATING 1035 Barg</t>
  </si>
  <si>
    <t>BIS</t>
  </si>
  <si>
    <t>RL25-44AE-25N-15K</t>
  </si>
  <si>
    <t>PRESSURE (LEVEL) TRANSMITTER,  -1.01 - 2.06 barg, EeX ia, 4-20mA, ZONE 1IIC II 2 G T4; 1/4" NPTF; COMPONENT RATING 2.1 Barg</t>
  </si>
  <si>
    <t>EMERSON (ROSEMOUNT)</t>
  </si>
  <si>
    <t>3051TG1A2B21BT1I1Q4Q8Q15RK</t>
  </si>
  <si>
    <t>PRESSURE TRANSMITTER  (SUITABLE FOR 1/4” HP TUBE), 0-1000 Mbarg, EeX ia, 4-20mA, ZONE 1 IIC II 2 G T6, NACE;
9/16" HP FEMALE;  COMPONENT  RATING 1000 Barg; PROOF PRESSURE RATING 1000 Barg</t>
  </si>
  <si>
    <t>DELTA</t>
  </si>
  <si>
    <t>43871CGAB6V30T157</t>
  </si>
  <si>
    <t>PRESSURE TRANSMITTER,  0-60 BARG, EeX ia, 4-20mA, ZONE 1 IIC II 2 G T6; 1/4" NPTM (VIA ADAPTOR); COMPONENT  RATING 60 Barg; PROOF PRESSURE RATING 60 Barg</t>
  </si>
  <si>
    <t>43871SEEB6G30T157</t>
  </si>
  <si>
    <t>GAS DETECTOR, EEX ia, POLYTRON 7000</t>
  </si>
  <si>
    <t>DRAGER</t>
  </si>
  <si>
    <t>8317710 C/W 8317990, 8317270,
8317275, 8317617,6809610</t>
  </si>
  <si>
    <t>Piston Accumulator,
Carbon Steel Construction,
Capacity: 6 Litres,
Gas Connection: 1/4" MP Female
(Autoclave or Butech)
+ Burst Disc
Fluid Connection: 1/4" MP Female,
(Autoclave or Butech)</t>
  </si>
  <si>
    <t>HYSTAT</t>
  </si>
  <si>
    <t>PA-6-760-100-SW80050</t>
  </si>
  <si>
    <t>INLINE FILTER; 1/4" MP FEMALE; COMPONENT  RATING 700 Barg; PROOF PRESSURE RATING 700 Barg</t>
  </si>
  <si>
    <t>HYDAC</t>
  </si>
  <si>
    <t>HPSSF700 ON 30AA 003
B.8/B6/N</t>
  </si>
  <si>
    <t>PNEUMATIC  REGULATOR,  0-17 BARG; 1/4" NPTF; COMPONENT  RATING 275 Barg; PROOF PRESSURE RATING 275
Barg</t>
  </si>
  <si>
    <t>Parker</t>
  </si>
  <si>
    <t>IR4004SK3PX4B</t>
  </si>
  <si>
    <t>LEVEL GAUGE, CtC 300mm; 1/2" UNF</t>
  </si>
  <si>
    <t>LUBEDEVICE</t>
  </si>
  <si>
    <t>G605-12-Y-1</t>
  </si>
  <si>
    <t>HAND PUMP; 3/8" NPTF; COMPONENT  RATING 700 Barg; PROOF PRESSURE RATING 700 Barg</t>
  </si>
  <si>
    <t>EUROPRESS</t>
  </si>
  <si>
    <t>PP113</t>
  </si>
  <si>
    <t>Motor Pump Assy comprising of:		
		PF511H-XVA-2-20				
		Fixed Displacement “Check Ball” Type Pump
		Delivering approx..0.30 l/min @ 690 bar / 10,000 psi @ 1500 rpm
		Inlet: ½” BSPF, Outlet: 3/8 MP
		0.75kW, D80, 400V 3ph 50Hz, 1500rpm, IP55, Thermistors.
		Max. Ambient +50℃
		Class F Insulation – Class B Rise
		CEMP ATEX IIB T4 Electric Motor
		B35 Foot &amp; Flange Mounted 
Complete with Bell Housing &amp; Coupling to suit.
Pumps and Bellhousings supplied un-painted.
Motors supplied painted to CEMP factory standard.</t>
  </si>
  <si>
    <t>DYNEX</t>
  </si>
  <si>
    <t>PF511H-XVA-2-20</t>
  </si>
  <si>
    <t>BALL VALVE; 1/2" NPTF; COMPONENT  RATING 69 Barg; PROOF PRESSURE RATING 69 Barg</t>
  </si>
  <si>
    <t>OLIVER</t>
  </si>
  <si>
    <t>LPB1F50S/HL/NA</t>
  </si>
  <si>
    <t>NEEDLE VALVE; 1/4" NPTF; COMPONENT  RATING 414 Barg; PROOF PRESSURE RATING 414 Barg</t>
  </si>
  <si>
    <t>F25S</t>
  </si>
  <si>
    <t>63mm dial glycerine filled Gauge Flush Mounting (screw fixing) Rear connection 1/4”HP male   
Stainless Steel case and movement with Monel tube and socket to NACE MR-01-75. Model # 633/63/MONEL/GF. Range 0-1000 Bar</t>
  </si>
  <si>
    <t>STEWART BUCHANAN</t>
  </si>
  <si>
    <t>0633AH41KB-DM</t>
  </si>
  <si>
    <t>100mm dial glycerine filled Gauge Flush Mounting (screw fixing) Rear connection 1/4”HP male   
Stainless Steel case and movement with Monel tube and socket to NACE MR-01-75. Model 633/MONEL/GF. Range 0-1000 Bar</t>
  </si>
  <si>
    <t>2633AH41KB-DM</t>
  </si>
  <si>
    <t>63mm dial glycerine filled Gauge Flush Mounting (screw fixing) Rear connection 1/4”NPT male
Stainless Steel case, movement and socket. Model # 633/63/GF. Range 0-25 Bar</t>
  </si>
  <si>
    <t>06330325B-D</t>
  </si>
  <si>
    <t>HYDRULIC PRESSURE REGULATOR, 13-690 BARG, NACE; 1/4" HP FEMALE, 1/4" NPTF VENT; COMPONENT RATING 1035 Barg IN, 690 Barg OUT; PROOF PRESSURE RATING 1035 Barg IN, 690 Barg OUT</t>
  </si>
  <si>
    <t>TESCOM</t>
  </si>
  <si>
    <t>54-2061D44-002</t>
  </si>
  <si>
    <t>RELIEF VALVE, 1/4" NPTF, COMPONENT RATING 13 Barg; PROOF PRESSURE RATING 13 Barg</t>
  </si>
  <si>
    <t>Proserv</t>
  </si>
  <si>
    <t>PF401F4Q-1V</t>
  </si>
  <si>
    <t>FILLER/BREATHER 0.7bar; COMPONENT RATING 0.7 Barg</t>
  </si>
  <si>
    <t>AB98817011</t>
  </si>
  <si>
    <t>PILOT VALVE, 3 WAY 2 POS; 3/8" NPTF, 1/8" NPTF PILOT; COMPONENT RATING 18 Barg; PROOF PRESSURE RATING 18 Barg</t>
  </si>
  <si>
    <t>VERSA</t>
  </si>
  <si>
    <t>VSP-8402-316-PPR</t>
  </si>
  <si>
    <t>Description # 3B25: 1/4" St.St. 2/3 Interface valve.
N: service ports 1/4" NPT
H1: Pilot pressure range: 1,400 - 10,000 psi
Pilot connection: 1/4" NPT female.
IVNC: Interface valve configured for normally closed,
wetted parts conform to NACE MR0175
10K: M.W.P. (Valve) 10,000 psi Liquid
Viton seals: -10°C to +120°C</t>
  </si>
  <si>
    <t>3B25N-H1-IVNC-10K</t>
  </si>
  <si>
    <t>63mm dial glycerine filled Gauge Flush Mounting (screw fixing) Rear connection 1/4”NPT male
Stainless Steel case, movement and socket.
Full safety pattern, solid front, laminated safety window and blow-out back. Model 1123/GF. Range 0-400Bar</t>
  </si>
  <si>
    <t>0112303400B-D</t>
  </si>
  <si>
    <t>63mm dial glycerine filled Gauge Direct Mounting Bottom connection 1/4”NPT male
Stainless Steel case, movement and socket. Model 632/GF. Range 0-25 Bar</t>
  </si>
  <si>
    <t>06320325B-D</t>
  </si>
  <si>
    <t>VALVE MANIFOLD, 2-WAY; 1/2" NPTF IN/OUT; 1/4"NPTF Vent Connection COMPONENT RATING 414 Barg</t>
  </si>
  <si>
    <t>G12FFS</t>
  </si>
  <si>
    <t>PRESSURE SENSOR, 0-250 BAR ID. Eex ia, 4-20mA, ZONE 1 IIC II 2 G T6; 1/4 NPTM (THROUGH ADAPTER); ELEMENT RATED 250 barg .; TEST PRESSURE RATING 250 barg.</t>
  </si>
  <si>
    <t>43871SFCB6G30T157</t>
  </si>
  <si>
    <t>INLINE FILTER, 40 MICRON FILTER UPSTREAM, 20 MICRON DOWNSTREAM, NACE; 1/4" HP FEMALE; COMPONENT RATING 4140 Barg; PROOF PRESSURE RATING 4140 Barg</t>
  </si>
  <si>
    <t>60LF4-40/20-SOG</t>
  </si>
  <si>
    <t>BALL VALVE; 1/2" NPTF; COMPONENT RATING 414 Barg; PROOF PRESSURE RATING 414 Barg</t>
  </si>
  <si>
    <t>B6FX50S/HL/NA</t>
  </si>
  <si>
    <t>CHECK VALVE; 1/4" NPTF; COMPONENT RATING 414 Barg; PROOF PRESSURE RATING 414 Barg</t>
  </si>
  <si>
    <t>CV25S</t>
  </si>
  <si>
    <t>Stainless Steel Swagelok Tube Fitting, Reducer, 10 mm x 12 mm Tube OD</t>
  </si>
  <si>
    <t>Swagelok</t>
  </si>
  <si>
    <t>SS-10M0-R-12M</t>
  </si>
  <si>
    <t>VALVE MANIFOLD, 3-WAY, PROOF PRESSURE RATING 414 BARG, CONNECTION 1/4" NPTF</t>
  </si>
  <si>
    <t>DBB/IN/S/25F/25F/25F/NA</t>
  </si>
  <si>
    <t>HYDRAULIC PANEL, 316SS, IP65, SIZE: H-2100 X W-2100 X D-800mm &amp; 200mm PANEL BASE.</t>
  </si>
  <si>
    <t>CUSTOM</t>
  </si>
  <si>
    <t>MAIN RESERVOIR, 316SS, FILL CAPACITY: 25 LITER, SIZE: H-420 X W-320 X D-240mm.</t>
  </si>
  <si>
    <t>16A 230VAC SWITCH SOCKET</t>
  </si>
  <si>
    <t>MENNEKES</t>
  </si>
  <si>
    <t>RS 491-248</t>
  </si>
  <si>
    <t>PILOT LIGHT, RED LENS, PLASTIC BEZEL</t>
  </si>
  <si>
    <t>800FP-P4</t>
  </si>
  <si>
    <t>PILOT LIGHT, GREEN LENS, PLASTIC BEZEL</t>
  </si>
  <si>
    <t>800FP-P3</t>
  </si>
  <si>
    <t>PUSHBUTTON BLACK FLUSH MOMENTARY</t>
  </si>
  <si>
    <t>800FP-F2</t>
  </si>
  <si>
    <t>PUSHBUTTON RED FLUSH MOMENTARY</t>
  </si>
  <si>
    <t>800FP-F4</t>
  </si>
  <si>
    <t>ILLUMINATED PUSHBUTTON GREEN</t>
  </si>
  <si>
    <t>800FP-LF3</t>
  </si>
  <si>
    <t>ILLUMINATED PUSHBUTTON RED</t>
  </si>
  <si>
    <t>800FP-LF4</t>
  </si>
  <si>
    <t>EMERGENCY STOP PUSHBUTTON</t>
  </si>
  <si>
    <t>800FP-MK44</t>
  </si>
  <si>
    <t>2 POSITION KEY SELECTOR SWITCH</t>
  </si>
  <si>
    <t>800FP-KM2 1 R</t>
  </si>
  <si>
    <t>2 POSITION SELECTOR SWITCH, SPRING RETURN</t>
  </si>
  <si>
    <t>800FP-SR22</t>
  </si>
  <si>
    <t xml:space="preserve">LED MODULE RED 24V AC/DC </t>
  </si>
  <si>
    <t>800F-N3R</t>
  </si>
  <si>
    <t xml:space="preserve">LED MODULE GREEN 24V AC/DC </t>
  </si>
  <si>
    <t>800F-N3G</t>
  </si>
  <si>
    <t>22.5MM P/B PLASTIC LATCH</t>
  </si>
  <si>
    <t>800F-ALP</t>
  </si>
  <si>
    <t xml:space="preserve">1 N/O CONTACT BLOCK </t>
  </si>
  <si>
    <t>800F-X10</t>
  </si>
  <si>
    <t xml:space="preserve">2 N/C CONTACT BLOCK </t>
  </si>
  <si>
    <t>800F-X02D</t>
  </si>
  <si>
    <t xml:space="preserve">1 N/C CONTACT BLOCK </t>
  </si>
  <si>
    <t>800F-X01</t>
  </si>
  <si>
    <t>LOOP POWERED INDICATOR</t>
  </si>
  <si>
    <t>BEKA</t>
  </si>
  <si>
    <t>BA507E</t>
  </si>
  <si>
    <t>EX-BULKHEAD LIGHT FITTING</t>
  </si>
  <si>
    <t>CESP</t>
  </si>
  <si>
    <t>CES-EX-D-JX-30</t>
  </si>
  <si>
    <t xml:space="preserve">LIGHT SWITCH </t>
  </si>
  <si>
    <t>CEAG</t>
  </si>
  <si>
    <t>GHG2732000R0003</t>
  </si>
  <si>
    <t>FEED-THROUGH TERMINAL, SCREW CONNECTION, 2.5 MM², 800 V, 24 A, DARK BEIGE</t>
  </si>
  <si>
    <t>W-SERIES, END PLATE</t>
  </si>
  <si>
    <t>W-SERIES, END BRACKET</t>
  </si>
  <si>
    <t>SCHT 5 TAG CARRIER</t>
  </si>
  <si>
    <t>0292460000</t>
  </si>
  <si>
    <t>PLUG-IN BRIDGE - ZQV 2.5N/50</t>
  </si>
  <si>
    <t>MOTOR JUNCTION BOX</t>
  </si>
  <si>
    <t>MOTOR JUNCTION BOX, MS Poweder Coated, SIZE: H-350 X W-260 X D-150mm.</t>
  </si>
  <si>
    <t>MOTOR PROTECTION CIRCUIT BREAKER, 3P CHANNELS, 1.6 2.5 A, 100 KA</t>
  </si>
  <si>
    <t>140MT-C3E-B25</t>
  </si>
  <si>
    <t>CIRCUIT BREAKER 2A</t>
  </si>
  <si>
    <t>1492-
SPM1C020-N</t>
  </si>
  <si>
    <t>THERMISTOR MONITORING. RELAY</t>
  </si>
  <si>
    <t>817S-PTC-230</t>
  </si>
  <si>
    <t>MOTOR CONTACTOR</t>
  </si>
  <si>
    <t>100-C09KF10</t>
  </si>
  <si>
    <t>RELAY 230V AC COIL</t>
  </si>
  <si>
    <t>700-HK32A2</t>
  </si>
  <si>
    <t>700-HK32Z24</t>
  </si>
  <si>
    <t>SCREW TERMINAL SOCKET</t>
  </si>
  <si>
    <t>700-HN122</t>
  </si>
  <si>
    <t>BREAKER, MOTOR PROTECTION, HANDLE, DOOR COUPLING, BLACK</t>
  </si>
  <si>
    <t>140MT-C-DN66</t>
  </si>
  <si>
    <t>EXTENSION SHAFT FOR OPERATOR MECHANISM, STANDARD LENGTH</t>
  </si>
  <si>
    <t>140MT-C-DS</t>
  </si>
  <si>
    <t>INSTRUMENT JUNCTION BOX</t>
  </si>
  <si>
    <t>INSTRUMENT JUNCTION BOX, SIZE: H-350 X W-260 X D-150mm.</t>
  </si>
  <si>
    <t>TEST-DISCONNECT TERMINAL, SCREW CONNECTION, 2.5 MM², 800 V, 24 A, PIVOTING, BLUE</t>
  </si>
  <si>
    <t>LIGHT &amp; SOCKET JUNCTION BOX</t>
  </si>
  <si>
    <t>LIGHT &amp; SOCKET JUNCTION BOX, SIZE: H-250 X W-250 X D-150MM.</t>
  </si>
  <si>
    <t>BULLETIN 1492-SPM SUPPLEMENTARY PROTECTORS, 2-POLE, TRIP CURVE C, 16 A</t>
  </si>
  <si>
    <t>1492-SPM2C160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</si>
</sst>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###0;###0"/>
    <numFmt numFmtId="166" formatCode="0.00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G Omega"/>
      <family val="2"/>
    </font>
    <font>
      <sz val="10"/>
      <name val="Times New Roman"/>
      <family val="1"/>
    </font>
    <font>
      <sz val="6"/>
      <name val="Helvetica-Narrow"/>
    </font>
    <font>
      <sz val="11"/>
      <name val="ＭＳ Ｐe"/>
      <family val="3"/>
      <charset val="128"/>
    </font>
    <font>
      <sz val="11"/>
      <name val="明"/>
      <family val="3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7" fillId="0" borderId="0"/>
    <xf numFmtId="0" fontId="9" fillId="0" borderId="3" applyNumberFormat="0" applyFill="0" applyBorder="0" applyProtection="0">
      <alignment horizontal="left" vertical="center"/>
      <protection locked="0"/>
    </xf>
    <xf numFmtId="0" fontId="10" fillId="0" borderId="4" applyNumberFormat="0" applyFill="0" applyBorder="0" applyAlignment="0" applyProtection="0">
      <protection locked="0"/>
    </xf>
    <xf numFmtId="164" fontId="11" fillId="0" borderId="0" applyBorder="0" applyAlignment="0"/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2" fillId="0" borderId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1" fillId="0" borderId="0" applyBorder="0" applyAlignment="0"/>
    <xf numFmtId="0" fontId="1" fillId="0" borderId="0"/>
  </cellStyleXfs>
  <cellXfs count="51">
    <xf numFmtId="0" fontId="0" fillId="0" borderId="0" xfId="0"/>
    <xf numFmtId="0" fontId="8" fillId="0" borderId="0" xfId="14"/>
    <xf numFmtId="0" fontId="8" fillId="0" borderId="2" xfId="14" applyBorder="1" applyAlignment="1">
      <alignment horizontal="center" vertical="center"/>
    </xf>
    <xf numFmtId="0" fontId="15" fillId="2" borderId="2" xfId="14" applyFont="1" applyFill="1" applyBorder="1" applyAlignment="1">
      <alignment horizontal="center" vertical="center"/>
    </xf>
    <xf numFmtId="0" fontId="8" fillId="0" borderId="0" xfId="14" applyAlignment="1">
      <alignment vertical="center"/>
    </xf>
    <xf numFmtId="0" fontId="17" fillId="3" borderId="2" xfId="14" applyFont="1" applyFill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center" vertical="center"/>
    </xf>
    <xf numFmtId="165" fontId="17" fillId="3" borderId="2" xfId="14" applyNumberFormat="1" applyFont="1" applyFill="1" applyBorder="1" applyAlignment="1">
      <alignment horizontal="center" vertical="center" wrapText="1"/>
    </xf>
    <xf numFmtId="0" fontId="14" fillId="3" borderId="2" xfId="14" applyFont="1" applyFill="1" applyBorder="1" applyAlignment="1">
      <alignment horizontal="center" vertical="center" wrapText="1"/>
    </xf>
    <xf numFmtId="0" fontId="14" fillId="0" borderId="2" xfId="14" applyFont="1" applyBorder="1" applyAlignment="1">
      <alignment horizontal="center" vertical="center" wrapText="1"/>
    </xf>
    <xf numFmtId="0" fontId="17" fillId="0" borderId="2" xfId="14" applyFont="1" applyBorder="1" applyAlignment="1">
      <alignment horizontal="left" vertical="center" wrapText="1"/>
    </xf>
    <xf numFmtId="165" fontId="17" fillId="0" borderId="2" xfId="14" applyNumberFormat="1" applyFont="1" applyBorder="1" applyAlignment="1">
      <alignment horizontal="center" vertical="center" wrapText="1"/>
    </xf>
    <xf numFmtId="0" fontId="17" fillId="3" borderId="0" xfId="14" applyFont="1" applyFill="1" applyAlignment="1">
      <alignment horizontal="left" vertical="center" wrapText="1"/>
    </xf>
    <xf numFmtId="0" fontId="8" fillId="0" borderId="0" xfId="14" applyAlignment="1">
      <alignment horizontal="center"/>
    </xf>
    <xf numFmtId="0" fontId="17" fillId="3" borderId="2" xfId="14" applyFont="1" applyFill="1" applyBorder="1" applyAlignment="1">
      <alignment horizontal="center" vertical="center" wrapText="1"/>
    </xf>
    <xf numFmtId="0" fontId="8" fillId="3" borderId="2" xfId="14" applyFill="1" applyBorder="1" applyAlignment="1">
      <alignment horizontal="left" vertical="center" wrapText="1"/>
    </xf>
    <xf numFmtId="0" fontId="8" fillId="3" borderId="2" xfId="14" applyFill="1" applyBorder="1" applyAlignment="1">
      <alignment horizontal="center" vertical="center" wrapText="1"/>
    </xf>
    <xf numFmtId="0" fontId="8" fillId="0" borderId="2" xfId="14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17" fillId="0" borderId="2" xfId="14" applyFont="1" applyBorder="1" applyAlignment="1">
      <alignment horizontal="center" vertical="center" wrapText="1"/>
    </xf>
    <xf numFmtId="0" fontId="8" fillId="0" borderId="2" xfId="14" applyBorder="1" applyAlignment="1">
      <alignment horizontal="center" vertical="center" wrapText="1"/>
    </xf>
    <xf numFmtId="0" fontId="8" fillId="5" borderId="2" xfId="14" applyFill="1" applyBorder="1" applyAlignment="1">
      <alignment horizontal="center" vertical="center"/>
    </xf>
    <xf numFmtId="0" fontId="8" fillId="5" borderId="2" xfId="14" applyFill="1" applyBorder="1" applyAlignment="1">
      <alignment horizontal="left" vertical="center" wrapText="1"/>
    </xf>
    <xf numFmtId="0" fontId="14" fillId="5" borderId="2" xfId="14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165" fontId="17" fillId="5" borderId="2" xfId="14" applyNumberFormat="1" applyFont="1" applyFill="1" applyBorder="1" applyAlignment="1">
      <alignment horizontal="center" vertical="center" wrapText="1"/>
    </xf>
    <xf numFmtId="0" fontId="17" fillId="5" borderId="2" xfId="14" applyFont="1" applyFill="1" applyBorder="1" applyAlignment="1">
      <alignment horizontal="left" vertical="center" wrapText="1"/>
    </xf>
    <xf numFmtId="0" fontId="8" fillId="5" borderId="2" xfId="14" applyFill="1" applyBorder="1" applyAlignment="1">
      <alignment vertical="center"/>
    </xf>
    <xf numFmtId="0" fontId="0" fillId="5" borderId="0" xfId="0" applyFill="1"/>
    <xf numFmtId="0" fontId="17" fillId="5" borderId="2" xfId="14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18" fillId="0" borderId="2" xfId="14" applyFont="1" applyBorder="1" applyAlignment="1">
      <alignment horizontal="left" vertical="center" wrapText="1"/>
    </xf>
    <xf numFmtId="0" fontId="16" fillId="2" borderId="2" xfId="14" applyFont="1" applyFill="1" applyBorder="1" applyAlignment="1">
      <alignment horizontal="center" vertical="center"/>
    </xf>
    <xf numFmtId="164" fontId="18" fillId="0" borderId="2" xfId="23" applyFont="1" applyBorder="1" applyAlignment="1">
      <alignment horizontal="left" vertical="center" wrapText="1"/>
    </xf>
    <xf numFmtId="0" fontId="16" fillId="2" borderId="1" xfId="14" applyFont="1" applyFill="1" applyBorder="1" applyAlignment="1">
      <alignment horizontal="center" vertical="center"/>
    </xf>
    <xf numFmtId="0" fontId="16" fillId="2" borderId="5" xfId="14" applyFont="1" applyFill="1" applyBorder="1" applyAlignment="1">
      <alignment horizontal="center" vertical="center"/>
    </xf>
  </cellXfs>
  <cellStyles count="25">
    <cellStyle name="a1" xfId="2" xr:uid="{00000000-0005-0000-0000-000000000000}"/>
    <cellStyle name="FORM" xfId="3" xr:uid="{00000000-0005-0000-0000-000001000000}"/>
    <cellStyle name="Normal" xfId="0" builtinId="0"/>
    <cellStyle name="Normal 2" xfId="4" xr:uid="{00000000-0005-0000-0000-000003000000}"/>
    <cellStyle name="Normal 2 3" xfId="14" xr:uid="{00000000-0005-0000-0000-000004000000}"/>
    <cellStyle name="Normal 3" xfId="1" xr:uid="{00000000-0005-0000-0000-000005000000}"/>
    <cellStyle name="Normal 3 2" xfId="10" xr:uid="{00000000-0005-0000-0000-000006000000}"/>
    <cellStyle name="Normal 3 2 2" xfId="15" xr:uid="{00000000-0005-0000-0000-000007000000}"/>
    <cellStyle name="Normal 3 2 2 2" xfId="22" xr:uid="{00000000-0005-0000-0000-000008000000}"/>
    <cellStyle name="Normal 3 2 3" xfId="18" xr:uid="{00000000-0005-0000-0000-000009000000}"/>
    <cellStyle name="Normal 3 3" xfId="11" xr:uid="{00000000-0005-0000-0000-00000A000000}"/>
    <cellStyle name="Normal 3 3 2" xfId="19" xr:uid="{00000000-0005-0000-0000-00000B000000}"/>
    <cellStyle name="Normal 3 4" xfId="12" xr:uid="{00000000-0005-0000-0000-00000C000000}"/>
    <cellStyle name="Normal 3 4 2" xfId="16" xr:uid="{00000000-0005-0000-0000-00000D000000}"/>
    <cellStyle name="Normal 3 4 2 2" xfId="21" xr:uid="{00000000-0005-0000-0000-00000E000000}"/>
    <cellStyle name="Normal 3 4 3" xfId="20" xr:uid="{00000000-0005-0000-0000-00000F000000}"/>
    <cellStyle name="Normal 3 5" xfId="17" xr:uid="{00000000-0005-0000-0000-000010000000}"/>
    <cellStyle name="Normal 4" xfId="24" xr:uid="{35C4D342-4029-4A86-971C-740CD363FC07}"/>
    <cellStyle name="Normal 5" xfId="13" xr:uid="{00000000-0005-0000-0000-000011000000}"/>
    <cellStyle name="Normal_Project Progress Report" xfId="23" xr:uid="{F8E90361-5515-46CF-9044-96B94B8FF246}"/>
    <cellStyle name="桁区切り [0.00]_10-17 (2)rd) mate" xfId="5" xr:uid="{00000000-0005-0000-0000-000012000000}"/>
    <cellStyle name="桁区切り_10-17 (2)st (stan" xfId="6" xr:uid="{00000000-0005-0000-0000-000013000000}"/>
    <cellStyle name="標準_10-17 (2)ndar" xfId="7" xr:uid="{00000000-0005-0000-0000-000014000000}"/>
    <cellStyle name="通貨 [0.00]_10-17 (2))a_DCS (2)(2" xfId="8" xr:uid="{00000000-0005-0000-0000-000015000000}"/>
    <cellStyle name="通貨_10-17 (2)st (" xfId="9" xr:uid="{00000000-0005-0000-0000-000016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1541084</xdr:colOff>
      <xdr:row>0</xdr:row>
      <xdr:rowOff>224261</xdr:rowOff>
    </xdr:from>
    <xdr:to>
      <xdr:col>4</xdr:col>
      <xdr:colOff>622536</xdr:colOff>
      <xdr:row>0</xdr:row>
      <xdr:rowOff>647171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17BE2-4E83-42D1-B4B3-D369A27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903784" y="224261"/>
          <a:ext cx="1207432" cy="422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1440426</xdr:colOff>
      <xdr:row>144</xdr:row>
      <xdr:rowOff>91440</xdr:rowOff>
    </xdr:from>
    <xdr:ext cx="1225428" cy="428625"/>
    <xdr:pic>
      <xdr:nvPicPr>
        <xdr:cNvPr id="3" name="Picture 17">
          <a:extLst>
            <a:ext uri="{FF2B5EF4-FFF2-40B4-BE49-F238E27FC236}">
              <a16:creationId xmlns:a16="http://schemas.microsoft.com/office/drawing/2014/main" id="{6E658CCA-8FFC-4299-B9BC-CDF2CFAD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803126" y="29481780"/>
          <a:ext cx="1225428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hub08\OPS\Projects\SBM%20Atlantia-USA\BM-110222%20-%20Vadinar%20SPM%201\ProjectManagement\Document%20Index\TU-090518%20Document%20Contr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 Process"/>
      <sheetName val="Project"/>
      <sheetName val="Document Index"/>
      <sheetName val="Document Released Revs"/>
      <sheetName val="Rev Summary"/>
      <sheetName val="Contacts"/>
      <sheetName val="Transmittals List"/>
      <sheetName val="Transmittals Docs"/>
      <sheetName val="Transmittal"/>
      <sheetName val="Transmittals Analysis"/>
      <sheetName val="Sheet1"/>
    </sheetNames>
    <sheetDataSet>
      <sheetData sheetId="0" refreshError="1"/>
      <sheetData sheetId="1" refreshError="1"/>
      <sheetData sheetId="2">
        <row r="2">
          <cell r="B2" t="str">
            <v>AGP-ARIPO-WHCP-INDX-001</v>
          </cell>
        </row>
        <row r="3">
          <cell r="B3" t="str">
            <v>AGP-ARIPO-WHCP-DOC-ITP</v>
          </cell>
        </row>
        <row r="4">
          <cell r="B4" t="str">
            <v>AGP-ARIPO-WHCP-DOC-BOM</v>
          </cell>
        </row>
        <row r="5">
          <cell r="B5" t="str">
            <v>AGP-ARIPO-WHCP-DOC-CL</v>
          </cell>
        </row>
        <row r="6">
          <cell r="B6" t="str">
            <v>AGP-ARIPO-WHCP-DOC-ENGG</v>
          </cell>
        </row>
        <row r="7">
          <cell r="B7" t="str">
            <v>AGP-ARIPO-WHCP-DOC-IOLIST</v>
          </cell>
        </row>
        <row r="8">
          <cell r="B8" t="str">
            <v>AGP-ARIPO-WHCP-DOC-FATPR</v>
          </cell>
        </row>
        <row r="9">
          <cell r="B9" t="str">
            <v>AGP-ARIPO-WHCP-DOC-FATREP</v>
          </cell>
        </row>
        <row r="10">
          <cell r="B10" t="str">
            <v>AGP-ARIPO-WHCP-DOC-PPRT</v>
          </cell>
        </row>
        <row r="11">
          <cell r="B11" t="str">
            <v>AGP-ARIPO-WHCP-DOC-SPRS1</v>
          </cell>
        </row>
        <row r="12">
          <cell r="B12" t="str">
            <v>AGP-ARIPO-WHCP-DOC-SPRS2</v>
          </cell>
        </row>
        <row r="13">
          <cell r="B13" t="str">
            <v>AGP-ARIPO-WHCP-DOC-SPR2</v>
          </cell>
        </row>
        <row r="14">
          <cell r="B14" t="str">
            <v>AGP-ARIPO-WHCP-DOC-PL</v>
          </cell>
        </row>
        <row r="15">
          <cell r="B15" t="str">
            <v>AGP-ARIPO-WHCP-DOC-OPERM</v>
          </cell>
        </row>
        <row r="16">
          <cell r="B16" t="str">
            <v>AGP-ARIPO-WHCP-DOC-MAINTM</v>
          </cell>
        </row>
        <row r="17">
          <cell r="B17" t="str">
            <v>AGP-ARIPO-WHCP-GA-100</v>
          </cell>
        </row>
        <row r="18">
          <cell r="B18" t="str">
            <v>AGP-ARIPO-WHCP-GA-101</v>
          </cell>
        </row>
        <row r="19">
          <cell r="B19" t="str">
            <v>AGP-ARIPO-WHCP-GA-103</v>
          </cell>
        </row>
        <row r="20">
          <cell r="B20" t="str">
            <v>AGP-ARIPO-WHCP-GA-104</v>
          </cell>
        </row>
        <row r="21">
          <cell r="B21" t="str">
            <v>AGP-ARIPO-WHCP-GA-105</v>
          </cell>
        </row>
        <row r="22">
          <cell r="B22" t="str">
            <v>AGP-ARIPO-WHCP-GA-106</v>
          </cell>
        </row>
        <row r="23">
          <cell r="B23" t="str">
            <v>AGP-ARIPO-WHCP-HYD-100</v>
          </cell>
        </row>
        <row r="24">
          <cell r="B24" t="str">
            <v>AGP-ARIPO-WHCP-HYD-101</v>
          </cell>
        </row>
        <row r="25">
          <cell r="B25" t="str">
            <v>AGP-ARIPO-WHCP-HYD-103</v>
          </cell>
        </row>
        <row r="26">
          <cell r="B26" t="str">
            <v>AGP-ARIPO-WHCP-HYD-104</v>
          </cell>
        </row>
        <row r="27">
          <cell r="B27" t="str">
            <v>AGP-ARIPO-WHCP-HYD-105</v>
          </cell>
        </row>
        <row r="28">
          <cell r="B28" t="str">
            <v>AGP-ARIPO-WHCP-CSS-101</v>
          </cell>
        </row>
        <row r="29">
          <cell r="B29" t="str">
            <v>AGP-ARIPO-WHCP-CSS-110</v>
          </cell>
        </row>
        <row r="30">
          <cell r="B30" t="str">
            <v>AGP-ARIPO-WHCP-PCS-111</v>
          </cell>
        </row>
        <row r="31">
          <cell r="B31" t="str">
            <v>AGP-ARIPO-WHCP-PCS-112</v>
          </cell>
        </row>
        <row r="32">
          <cell r="B32" t="str">
            <v>AGP-ARIPO-WHCP-PCS-113</v>
          </cell>
        </row>
        <row r="33">
          <cell r="B33" t="str">
            <v>AGP-ARIPO-WHCP-PCS-114</v>
          </cell>
        </row>
        <row r="34">
          <cell r="B34" t="str">
            <v>AGP-ARIPO-WHCP-PCS-115</v>
          </cell>
        </row>
        <row r="35">
          <cell r="B35" t="str">
            <v>AGP-ARIPO-WHCP-PCS-116</v>
          </cell>
        </row>
        <row r="36">
          <cell r="B36" t="str">
            <v>AGP-ARIPO-WHCP-PCS-117</v>
          </cell>
        </row>
        <row r="37">
          <cell r="B37" t="str">
            <v>AGP-ARIPO-WHCP-PCS-118</v>
          </cell>
        </row>
        <row r="38">
          <cell r="B38" t="str">
            <v>AGP-ARIPO-WHCP-SIS-111</v>
          </cell>
        </row>
        <row r="39">
          <cell r="B39" t="str">
            <v>AGP-ARIPO-WHCP-SIS-112</v>
          </cell>
        </row>
        <row r="40">
          <cell r="B40" t="str">
            <v>AGP-ARIPO-WHCP-SIS-113</v>
          </cell>
        </row>
        <row r="41">
          <cell r="B41" t="str">
            <v>AGP-ARIPO-WHCP-SIS-114</v>
          </cell>
        </row>
        <row r="42">
          <cell r="B42" t="str">
            <v>AGP-ARIPO-WHCP-SIS-115</v>
          </cell>
        </row>
        <row r="43">
          <cell r="B43" t="str">
            <v>AGP-ARIPO-WHCP-SIS-116</v>
          </cell>
        </row>
        <row r="44">
          <cell r="B44" t="str">
            <v>AGP-ARIPO-WHCP-SIS-117</v>
          </cell>
        </row>
        <row r="45">
          <cell r="B45" t="str">
            <v>AGP-ARIPO-WHCP-SIS-118</v>
          </cell>
        </row>
        <row r="46">
          <cell r="B46" t="str">
            <v>AGP-ARIPO-WHCP-SIS-119</v>
          </cell>
        </row>
        <row r="47">
          <cell r="B47" t="str">
            <v>AGP-ARIPO-WHCP-SIS-120</v>
          </cell>
        </row>
        <row r="48">
          <cell r="B48" t="str">
            <v>AGP-ARIPO-WHCP-SIS-121</v>
          </cell>
        </row>
        <row r="49">
          <cell r="B49" t="str">
            <v>AGP-ARIPO-WHCP-SIS-122</v>
          </cell>
        </row>
        <row r="50">
          <cell r="B50" t="str">
            <v>AGP-ARIPO-WHCP-SIS-123</v>
          </cell>
        </row>
        <row r="51">
          <cell r="B51" t="str">
            <v>AGP-ARIPO-WHCP-SIS-124</v>
          </cell>
        </row>
        <row r="52">
          <cell r="B52" t="str">
            <v>AGP-ARIPO-WHCP-SIS-125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269-0389-445B-8F04-A1F46982E989}">
  <sheetPr>
    <pageSetUpPr fitToPage="1"/>
  </sheetPr>
  <dimension ref="A1:E255"/>
  <sheetViews>
    <sheetView tabSelected="1" topLeftCell="A2" zoomScaleNormal="100" zoomScaleSheetLayoutView="100" zoomScalePageLayoutView="85" workbookViewId="0">
      <selection activeCell="B20" sqref="B20"/>
    </sheetView>
  </sheetViews>
  <sheetFormatPr defaultColWidth="9.109375" defaultRowHeight="13.2"/>
  <cols>
    <col min="1" max="1" width="9.109375" style="13" customWidth="1"/>
    <col min="2" max="2" width="63.6640625" style="1" customWidth="1"/>
    <col min="3" max="3" width="20" style="13" customWidth="1"/>
    <col min="4" max="4" width="31" style="13" customWidth="1"/>
    <col min="5" max="5" width="9.5546875" style="13" customWidth="1"/>
    <col min="6" max="16384" width="9.109375" style="1"/>
  </cols>
  <sheetData>
    <row r="1" spans="1:5" ht="71.25" customHeight="1">
      <c r="A1" s="46" t="s">
        <v>0</v>
      </c>
      <c r="B1" s="46"/>
      <c r="C1" s="46"/>
      <c r="D1" s="46"/>
      <c r="E1" s="46"/>
    </row>
    <row r="2" spans="1:5" s="4" customFormat="1" ht="30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15.6">
      <c r="A3" s="47" t="s">
        <v>6</v>
      </c>
      <c r="B3" s="47"/>
      <c r="C3" s="47"/>
      <c r="D3" s="47"/>
      <c r="E3" s="47"/>
    </row>
    <row r="4" spans="1:5" ht="26.4">
      <c r="A4" s="36">
        <f>ROW()-3</f>
        <v>1</v>
      </c>
      <c r="B4" s="37" t="s">
        <v>7</v>
      </c>
      <c r="C4" s="38" t="s">
        <v>6</v>
      </c>
      <c r="D4" s="39" t="s">
        <v>8</v>
      </c>
      <c r="E4" s="40">
        <v>3</v>
      </c>
    </row>
    <row r="5" spans="1:5">
      <c r="A5" s="36">
        <v>2</v>
      </c>
      <c r="B5" s="37" t="s">
        <v>9</v>
      </c>
      <c r="C5" s="38" t="s">
        <v>6</v>
      </c>
      <c r="D5" s="39">
        <v>8108245</v>
      </c>
      <c r="E5" s="40">
        <v>1</v>
      </c>
    </row>
    <row r="6" spans="1:5" ht="39.6">
      <c r="A6" s="36">
        <f>A5+1</f>
        <v>3</v>
      </c>
      <c r="B6" s="37" t="s">
        <v>10</v>
      </c>
      <c r="C6" s="38" t="s">
        <v>6</v>
      </c>
      <c r="D6" s="39">
        <v>8660003</v>
      </c>
      <c r="E6" s="40">
        <v>3</v>
      </c>
    </row>
    <row r="7" spans="1:5" ht="26.4">
      <c r="A7" s="36">
        <f t="shared" ref="A7:A35" si="0">A6+1</f>
        <v>4</v>
      </c>
      <c r="B7" s="37" t="s">
        <v>11</v>
      </c>
      <c r="C7" s="38" t="s">
        <v>6</v>
      </c>
      <c r="D7" s="39">
        <v>8660034</v>
      </c>
      <c r="E7" s="40">
        <v>3</v>
      </c>
    </row>
    <row r="8" spans="1:5">
      <c r="A8" s="36">
        <f t="shared" si="0"/>
        <v>5</v>
      </c>
      <c r="B8" s="41" t="s">
        <v>12</v>
      </c>
      <c r="C8" s="38" t="s">
        <v>6</v>
      </c>
      <c r="D8" s="39">
        <v>8618230</v>
      </c>
      <c r="E8" s="40">
        <v>6</v>
      </c>
    </row>
    <row r="9" spans="1:5">
      <c r="A9" s="36">
        <f t="shared" si="0"/>
        <v>6</v>
      </c>
      <c r="B9" s="37" t="s">
        <v>13</v>
      </c>
      <c r="C9" s="38" t="s">
        <v>6</v>
      </c>
      <c r="D9" s="39">
        <v>8611180</v>
      </c>
      <c r="E9" s="40">
        <v>6</v>
      </c>
    </row>
    <row r="10" spans="1:5">
      <c r="A10" s="36">
        <f t="shared" si="0"/>
        <v>7</v>
      </c>
      <c r="B10" s="41" t="s">
        <v>14</v>
      </c>
      <c r="C10" s="38" t="s">
        <v>6</v>
      </c>
      <c r="D10" s="39">
        <v>2500200</v>
      </c>
      <c r="E10" s="40">
        <v>6</v>
      </c>
    </row>
    <row r="11" spans="1:5">
      <c r="A11" s="36">
        <f t="shared" si="0"/>
        <v>8</v>
      </c>
      <c r="B11" s="42" t="s">
        <v>15</v>
      </c>
      <c r="C11" s="38" t="s">
        <v>6</v>
      </c>
      <c r="D11" s="39">
        <v>2500460</v>
      </c>
      <c r="E11" s="40">
        <v>6</v>
      </c>
    </row>
    <row r="12" spans="1:5">
      <c r="A12" s="36">
        <f t="shared" si="0"/>
        <v>9</v>
      </c>
      <c r="B12" s="37" t="s">
        <v>21</v>
      </c>
      <c r="C12" s="38" t="s">
        <v>6</v>
      </c>
      <c r="D12" s="39">
        <v>8617500</v>
      </c>
      <c r="E12" s="40">
        <v>2</v>
      </c>
    </row>
    <row r="13" spans="1:5" ht="26.4">
      <c r="A13" s="36">
        <f>A11+1</f>
        <v>9</v>
      </c>
      <c r="B13" s="41" t="s">
        <v>16</v>
      </c>
      <c r="C13" s="38" t="s">
        <v>6</v>
      </c>
      <c r="D13" s="39">
        <v>3239700</v>
      </c>
      <c r="E13" s="40">
        <v>3</v>
      </c>
    </row>
    <row r="14" spans="1:5" ht="26.4">
      <c r="A14" s="36">
        <f t="shared" si="0"/>
        <v>10</v>
      </c>
      <c r="B14" s="41" t="s">
        <v>17</v>
      </c>
      <c r="C14" s="38" t="s">
        <v>6</v>
      </c>
      <c r="D14" s="39">
        <v>3239300</v>
      </c>
      <c r="E14" s="40">
        <v>9</v>
      </c>
    </row>
    <row r="15" spans="1:5">
      <c r="A15" s="36">
        <f t="shared" si="0"/>
        <v>11</v>
      </c>
      <c r="B15" s="41" t="s">
        <v>18</v>
      </c>
      <c r="C15" s="38" t="s">
        <v>6</v>
      </c>
      <c r="D15" s="39">
        <v>4568000</v>
      </c>
      <c r="E15" s="40">
        <v>1</v>
      </c>
    </row>
    <row r="16" spans="1:5">
      <c r="A16" s="36">
        <f t="shared" si="0"/>
        <v>12</v>
      </c>
      <c r="B16" s="41" t="s">
        <v>19</v>
      </c>
      <c r="C16" s="38" t="s">
        <v>6</v>
      </c>
      <c r="D16" s="39">
        <v>8617502</v>
      </c>
      <c r="E16" s="40">
        <v>2</v>
      </c>
    </row>
    <row r="17" spans="1:5">
      <c r="A17" s="36">
        <f t="shared" si="0"/>
        <v>13</v>
      </c>
      <c r="B17" s="41" t="s">
        <v>20</v>
      </c>
      <c r="C17" s="38" t="s">
        <v>6</v>
      </c>
      <c r="D17" s="39">
        <v>8617508</v>
      </c>
      <c r="E17" s="40">
        <v>2</v>
      </c>
    </row>
    <row r="18" spans="1:5">
      <c r="A18" s="36">
        <f t="shared" si="0"/>
        <v>14</v>
      </c>
      <c r="B18" s="37" t="s">
        <v>21</v>
      </c>
      <c r="C18" s="38" t="s">
        <v>6</v>
      </c>
      <c r="D18" s="39">
        <v>8617500</v>
      </c>
      <c r="E18" s="40">
        <v>2</v>
      </c>
    </row>
    <row r="19" spans="1:5">
      <c r="A19" s="36">
        <f t="shared" si="0"/>
        <v>15</v>
      </c>
      <c r="B19" s="41" t="s">
        <v>22</v>
      </c>
      <c r="C19" s="38" t="s">
        <v>6</v>
      </c>
      <c r="D19" s="39">
        <v>4540000</v>
      </c>
      <c r="E19" s="40">
        <v>1</v>
      </c>
    </row>
    <row r="20" spans="1:5">
      <c r="A20" s="36">
        <f t="shared" si="0"/>
        <v>16</v>
      </c>
      <c r="B20" s="41" t="s">
        <v>23</v>
      </c>
      <c r="C20" s="38" t="s">
        <v>6</v>
      </c>
      <c r="D20" s="39">
        <v>2513000</v>
      </c>
      <c r="E20" s="40">
        <v>3</v>
      </c>
    </row>
    <row r="21" spans="1:5">
      <c r="A21" s="36">
        <f t="shared" si="0"/>
        <v>17</v>
      </c>
      <c r="B21" s="41" t="s">
        <v>24</v>
      </c>
      <c r="C21" s="38" t="s">
        <v>6</v>
      </c>
      <c r="D21" s="39">
        <v>7113000</v>
      </c>
      <c r="E21" s="40">
        <v>6</v>
      </c>
    </row>
    <row r="22" spans="1:5">
      <c r="A22" s="36">
        <f t="shared" si="0"/>
        <v>18</v>
      </c>
      <c r="B22" s="41" t="s">
        <v>25</v>
      </c>
      <c r="C22" s="38" t="s">
        <v>6</v>
      </c>
      <c r="D22" s="39">
        <v>3110000</v>
      </c>
      <c r="E22" s="40">
        <v>3</v>
      </c>
    </row>
    <row r="23" spans="1:5">
      <c r="A23" s="36">
        <f t="shared" si="0"/>
        <v>19</v>
      </c>
      <c r="B23" s="41" t="s">
        <v>26</v>
      </c>
      <c r="C23" s="38" t="s">
        <v>6</v>
      </c>
      <c r="D23" s="39">
        <v>8617730</v>
      </c>
      <c r="E23" s="40">
        <v>4</v>
      </c>
    </row>
    <row r="24" spans="1:5">
      <c r="A24" s="36">
        <f t="shared" si="0"/>
        <v>20</v>
      </c>
      <c r="B24" s="43" t="s">
        <v>27</v>
      </c>
      <c r="C24" s="38" t="s">
        <v>6</v>
      </c>
      <c r="D24" s="39">
        <v>2500430</v>
      </c>
      <c r="E24" s="40">
        <v>6</v>
      </c>
    </row>
    <row r="25" spans="1:5">
      <c r="A25" s="36">
        <f t="shared" si="0"/>
        <v>21</v>
      </c>
      <c r="B25" s="41" t="s">
        <v>28</v>
      </c>
      <c r="C25" s="38" t="s">
        <v>6</v>
      </c>
      <c r="D25" s="39">
        <v>8800885</v>
      </c>
      <c r="E25" s="40">
        <v>2</v>
      </c>
    </row>
    <row r="26" spans="1:5">
      <c r="A26" s="36">
        <f t="shared" si="0"/>
        <v>22</v>
      </c>
      <c r="B26" s="41" t="s">
        <v>29</v>
      </c>
      <c r="C26" s="38" t="s">
        <v>6</v>
      </c>
      <c r="D26" s="39">
        <v>8617507</v>
      </c>
      <c r="E26" s="40">
        <v>2</v>
      </c>
    </row>
    <row r="27" spans="1:5">
      <c r="A27" s="36">
        <f t="shared" si="0"/>
        <v>23</v>
      </c>
      <c r="B27" s="41" t="s">
        <v>30</v>
      </c>
      <c r="C27" s="38" t="s">
        <v>6</v>
      </c>
      <c r="D27" s="39">
        <v>8618430</v>
      </c>
      <c r="E27" s="40">
        <v>6</v>
      </c>
    </row>
    <row r="28" spans="1:5">
      <c r="A28" s="36">
        <f t="shared" si="0"/>
        <v>24</v>
      </c>
      <c r="B28" s="41" t="s">
        <v>31</v>
      </c>
      <c r="C28" s="38" t="s">
        <v>6</v>
      </c>
      <c r="D28" s="39">
        <v>8619033</v>
      </c>
      <c r="E28" s="40">
        <v>1</v>
      </c>
    </row>
    <row r="29" spans="1:5">
      <c r="A29" s="36">
        <f t="shared" si="0"/>
        <v>25</v>
      </c>
      <c r="B29" s="41" t="s">
        <v>32</v>
      </c>
      <c r="C29" s="38" t="s">
        <v>6</v>
      </c>
      <c r="D29" s="39">
        <v>8619041</v>
      </c>
      <c r="E29" s="40">
        <v>1</v>
      </c>
    </row>
    <row r="30" spans="1:5">
      <c r="A30" s="36">
        <f>A29+1</f>
        <v>26</v>
      </c>
      <c r="B30" s="41" t="s">
        <v>33</v>
      </c>
      <c r="C30" s="38" t="s">
        <v>6</v>
      </c>
      <c r="D30" s="39">
        <v>7152035</v>
      </c>
      <c r="E30" s="40">
        <v>1</v>
      </c>
    </row>
    <row r="31" spans="1:5">
      <c r="A31" s="36">
        <f t="shared" si="0"/>
        <v>27</v>
      </c>
      <c r="B31" s="41" t="s">
        <v>34</v>
      </c>
      <c r="C31" s="38" t="s">
        <v>6</v>
      </c>
      <c r="D31" s="39">
        <v>4638800</v>
      </c>
      <c r="E31" s="40">
        <v>1</v>
      </c>
    </row>
    <row r="32" spans="1:5" ht="26.4">
      <c r="A32" s="36">
        <f t="shared" si="0"/>
        <v>28</v>
      </c>
      <c r="B32" s="41" t="s">
        <v>35</v>
      </c>
      <c r="C32" s="38" t="s">
        <v>6</v>
      </c>
      <c r="D32" s="39">
        <v>8617040</v>
      </c>
      <c r="E32" s="40">
        <v>2</v>
      </c>
    </row>
    <row r="33" spans="1:5">
      <c r="A33" s="36">
        <f t="shared" si="0"/>
        <v>29</v>
      </c>
      <c r="B33" s="41" t="s">
        <v>36</v>
      </c>
      <c r="C33" s="38" t="s">
        <v>6</v>
      </c>
      <c r="D33" s="39">
        <v>2506120</v>
      </c>
      <c r="E33" s="40">
        <v>2</v>
      </c>
    </row>
    <row r="34" spans="1:5">
      <c r="A34" s="36">
        <f t="shared" si="0"/>
        <v>30</v>
      </c>
      <c r="B34" s="41" t="s">
        <v>37</v>
      </c>
      <c r="C34" s="38" t="s">
        <v>6</v>
      </c>
      <c r="D34" s="39">
        <v>8619050</v>
      </c>
      <c r="E34" s="40">
        <v>2</v>
      </c>
    </row>
    <row r="35" spans="1:5">
      <c r="A35" s="36">
        <f t="shared" si="0"/>
        <v>31</v>
      </c>
      <c r="B35" s="41" t="s">
        <v>38</v>
      </c>
      <c r="C35" s="38" t="s">
        <v>6</v>
      </c>
      <c r="D35" s="39">
        <v>8618335</v>
      </c>
      <c r="E35" s="40">
        <v>6</v>
      </c>
    </row>
    <row r="36" spans="1:5" ht="15.6">
      <c r="A36" s="47" t="s">
        <v>39</v>
      </c>
      <c r="B36" s="47"/>
      <c r="C36" s="47"/>
      <c r="D36" s="47"/>
      <c r="E36" s="47"/>
    </row>
    <row r="37" spans="1:5">
      <c r="A37" s="2">
        <v>32</v>
      </c>
      <c r="B37" s="5" t="s">
        <v>40</v>
      </c>
      <c r="C37" s="8" t="s">
        <v>39</v>
      </c>
      <c r="D37" s="6" t="s">
        <v>41</v>
      </c>
      <c r="E37" s="7">
        <v>2</v>
      </c>
    </row>
    <row r="38" spans="1:5">
      <c r="A38" s="2">
        <f>A37+1</f>
        <v>33</v>
      </c>
      <c r="B38" s="5" t="s">
        <v>42</v>
      </c>
      <c r="C38" s="8" t="s">
        <v>39</v>
      </c>
      <c r="D38" s="8" t="s">
        <v>43</v>
      </c>
      <c r="E38" s="9">
        <v>2</v>
      </c>
    </row>
    <row r="39" spans="1:5">
      <c r="A39" s="2">
        <f t="shared" ref="A39:A60" si="1">A38+1</f>
        <v>34</v>
      </c>
      <c r="B39" s="5" t="s">
        <v>44</v>
      </c>
      <c r="C39" s="8" t="s">
        <v>39</v>
      </c>
      <c r="D39" s="8" t="s">
        <v>45</v>
      </c>
      <c r="E39" s="9">
        <v>2</v>
      </c>
    </row>
    <row r="40" spans="1:5">
      <c r="A40" s="2">
        <f t="shared" si="1"/>
        <v>35</v>
      </c>
      <c r="B40" s="10" t="s">
        <v>46</v>
      </c>
      <c r="C40" s="9" t="s">
        <v>39</v>
      </c>
      <c r="D40" s="9" t="s">
        <v>47</v>
      </c>
      <c r="E40" s="9">
        <v>2</v>
      </c>
    </row>
    <row r="41" spans="1:5">
      <c r="A41" s="2">
        <f t="shared" si="1"/>
        <v>36</v>
      </c>
      <c r="B41" s="5" t="s">
        <v>48</v>
      </c>
      <c r="C41" s="9" t="s">
        <v>39</v>
      </c>
      <c r="D41" s="8" t="s">
        <v>49</v>
      </c>
      <c r="E41" s="9">
        <v>4</v>
      </c>
    </row>
    <row r="42" spans="1:5">
      <c r="A42" s="2">
        <f t="shared" si="1"/>
        <v>37</v>
      </c>
      <c r="B42" s="5" t="s">
        <v>50</v>
      </c>
      <c r="C42" s="8" t="s">
        <v>39</v>
      </c>
      <c r="D42" s="9" t="s">
        <v>51</v>
      </c>
      <c r="E42" s="7">
        <v>2</v>
      </c>
    </row>
    <row r="43" spans="1:5">
      <c r="A43" s="2">
        <f t="shared" si="1"/>
        <v>38</v>
      </c>
      <c r="B43" s="10" t="s">
        <v>52</v>
      </c>
      <c r="C43" s="9" t="s">
        <v>39</v>
      </c>
      <c r="D43" s="9" t="s">
        <v>53</v>
      </c>
      <c r="E43" s="9">
        <v>2</v>
      </c>
    </row>
    <row r="44" spans="1:5">
      <c r="A44" s="2"/>
      <c r="B44" s="10" t="s">
        <v>52</v>
      </c>
      <c r="C44" s="9" t="s">
        <v>39</v>
      </c>
      <c r="D44" s="9" t="s">
        <v>53</v>
      </c>
      <c r="E44" s="9"/>
    </row>
    <row r="45" spans="1:5">
      <c r="A45" s="2">
        <f>A43+1</f>
        <v>39</v>
      </c>
      <c r="B45" s="5" t="s">
        <v>54</v>
      </c>
      <c r="C45" s="8" t="s">
        <v>39</v>
      </c>
      <c r="D45" s="8" t="s">
        <v>55</v>
      </c>
      <c r="E45" s="9">
        <v>2</v>
      </c>
    </row>
    <row r="46" spans="1:5">
      <c r="A46" s="2">
        <f t="shared" si="1"/>
        <v>40</v>
      </c>
      <c r="B46" s="5" t="s">
        <v>56</v>
      </c>
      <c r="C46" s="8" t="s">
        <v>39</v>
      </c>
      <c r="D46" s="8" t="s">
        <v>57</v>
      </c>
      <c r="E46" s="9">
        <v>4</v>
      </c>
    </row>
    <row r="47" spans="1:5">
      <c r="A47" s="2">
        <f t="shared" si="1"/>
        <v>41</v>
      </c>
      <c r="B47" s="5" t="s">
        <v>58</v>
      </c>
      <c r="C47" s="8" t="s">
        <v>39</v>
      </c>
      <c r="D47" s="8" t="s">
        <v>59</v>
      </c>
      <c r="E47" s="9">
        <v>2</v>
      </c>
    </row>
    <row r="48" spans="1:5">
      <c r="A48" s="2">
        <f t="shared" si="1"/>
        <v>42</v>
      </c>
      <c r="B48" s="5" t="s">
        <v>60</v>
      </c>
      <c r="C48" s="8" t="s">
        <v>39</v>
      </c>
      <c r="D48" s="8" t="s">
        <v>61</v>
      </c>
      <c r="E48" s="9">
        <v>4</v>
      </c>
    </row>
    <row r="49" spans="1:5">
      <c r="A49" s="2">
        <f t="shared" si="1"/>
        <v>43</v>
      </c>
      <c r="B49" s="5" t="s">
        <v>62</v>
      </c>
      <c r="C49" s="8" t="s">
        <v>39</v>
      </c>
      <c r="D49" s="8" t="s">
        <v>63</v>
      </c>
      <c r="E49" s="11">
        <v>2</v>
      </c>
    </row>
    <row r="50" spans="1:5">
      <c r="A50" s="2">
        <f t="shared" si="1"/>
        <v>44</v>
      </c>
      <c r="B50" s="5" t="s">
        <v>64</v>
      </c>
      <c r="C50" s="8" t="s">
        <v>39</v>
      </c>
      <c r="D50" s="8" t="s">
        <v>65</v>
      </c>
      <c r="E50" s="7">
        <v>2</v>
      </c>
    </row>
    <row r="51" spans="1:5">
      <c r="A51" s="2">
        <f t="shared" si="1"/>
        <v>45</v>
      </c>
      <c r="B51" s="5" t="s">
        <v>66</v>
      </c>
      <c r="C51" s="8" t="s">
        <v>39</v>
      </c>
      <c r="D51" s="8" t="s">
        <v>67</v>
      </c>
      <c r="E51" s="7">
        <v>1</v>
      </c>
    </row>
    <row r="52" spans="1:5">
      <c r="A52" s="2">
        <f t="shared" si="1"/>
        <v>46</v>
      </c>
      <c r="B52" s="5" t="s">
        <v>66</v>
      </c>
      <c r="C52" s="8" t="s">
        <v>39</v>
      </c>
      <c r="D52" s="8" t="s">
        <v>67</v>
      </c>
      <c r="E52" s="7">
        <v>1</v>
      </c>
    </row>
    <row r="53" spans="1:5">
      <c r="A53" s="2">
        <f>A51+1</f>
        <v>46</v>
      </c>
      <c r="B53" s="5" t="s">
        <v>68</v>
      </c>
      <c r="C53" s="8" t="s">
        <v>39</v>
      </c>
      <c r="D53" s="8" t="s">
        <v>69</v>
      </c>
      <c r="E53" s="7">
        <v>2</v>
      </c>
    </row>
    <row r="54" spans="1:5">
      <c r="A54" s="2">
        <f t="shared" si="1"/>
        <v>47</v>
      </c>
      <c r="B54" s="5" t="s">
        <v>70</v>
      </c>
      <c r="C54" s="8" t="s">
        <v>39</v>
      </c>
      <c r="D54" s="8" t="s">
        <v>71</v>
      </c>
      <c r="E54" s="7">
        <v>3</v>
      </c>
    </row>
    <row r="55" spans="1:5" ht="26.4">
      <c r="A55" s="2">
        <f t="shared" si="1"/>
        <v>48</v>
      </c>
      <c r="B55" s="5" t="s">
        <v>72</v>
      </c>
      <c r="C55" s="8" t="s">
        <v>39</v>
      </c>
      <c r="D55" s="8" t="s">
        <v>73</v>
      </c>
      <c r="E55" s="7">
        <v>2</v>
      </c>
    </row>
    <row r="56" spans="1:5" ht="26.4">
      <c r="A56" s="2">
        <f t="shared" si="1"/>
        <v>49</v>
      </c>
      <c r="B56" s="5" t="s">
        <v>74</v>
      </c>
      <c r="C56" s="8" t="s">
        <v>39</v>
      </c>
      <c r="D56" s="8" t="s">
        <v>75</v>
      </c>
      <c r="E56" s="7">
        <v>2</v>
      </c>
    </row>
    <row r="57" spans="1:5">
      <c r="A57" s="2">
        <f t="shared" si="1"/>
        <v>50</v>
      </c>
      <c r="B57" s="5" t="s">
        <v>76</v>
      </c>
      <c r="C57" s="8" t="s">
        <v>39</v>
      </c>
      <c r="D57" s="8" t="s">
        <v>77</v>
      </c>
      <c r="E57" s="7">
        <v>8</v>
      </c>
    </row>
    <row r="58" spans="1:5">
      <c r="A58" s="2">
        <f t="shared" si="1"/>
        <v>51</v>
      </c>
      <c r="B58" s="5" t="s">
        <v>78</v>
      </c>
      <c r="C58" s="8" t="s">
        <v>39</v>
      </c>
      <c r="D58" s="8" t="s">
        <v>79</v>
      </c>
      <c r="E58" s="7">
        <v>1</v>
      </c>
    </row>
    <row r="59" spans="1:5">
      <c r="A59" s="2">
        <f t="shared" si="1"/>
        <v>52</v>
      </c>
      <c r="B59" s="10" t="s">
        <v>80</v>
      </c>
      <c r="C59" s="9" t="s">
        <v>81</v>
      </c>
      <c r="D59" s="9" t="s">
        <v>82</v>
      </c>
      <c r="E59" s="11">
        <v>2</v>
      </c>
    </row>
    <row r="60" spans="1:5">
      <c r="A60" s="2">
        <f t="shared" si="1"/>
        <v>53</v>
      </c>
      <c r="B60" s="10" t="s">
        <v>83</v>
      </c>
      <c r="C60" s="9" t="s">
        <v>81</v>
      </c>
      <c r="D60" s="9" t="s">
        <v>84</v>
      </c>
      <c r="E60" s="11">
        <v>1</v>
      </c>
    </row>
    <row r="61" spans="1:5" ht="15.6">
      <c r="A61" s="47" t="s">
        <v>85</v>
      </c>
      <c r="B61" s="47"/>
      <c r="C61" s="47"/>
      <c r="D61" s="47"/>
      <c r="E61" s="47"/>
    </row>
    <row r="62" spans="1:5">
      <c r="A62" s="14">
        <v>54</v>
      </c>
      <c r="B62" s="5" t="s">
        <v>86</v>
      </c>
      <c r="C62" s="14" t="s">
        <v>87</v>
      </c>
      <c r="D62" s="14" t="s">
        <v>88</v>
      </c>
      <c r="E62" s="34">
        <v>27</v>
      </c>
    </row>
    <row r="63" spans="1:5">
      <c r="A63" s="2">
        <f t="shared" ref="A63:A66" si="2">A62+1</f>
        <v>55</v>
      </c>
      <c r="B63" s="5" t="s">
        <v>89</v>
      </c>
      <c r="C63" s="14" t="s">
        <v>87</v>
      </c>
      <c r="D63" s="14" t="s">
        <v>90</v>
      </c>
      <c r="E63" s="14">
        <v>2</v>
      </c>
    </row>
    <row r="64" spans="1:5">
      <c r="A64" s="2">
        <f t="shared" si="2"/>
        <v>56</v>
      </c>
      <c r="B64" s="5" t="s">
        <v>91</v>
      </c>
      <c r="C64" s="14" t="s">
        <v>87</v>
      </c>
      <c r="D64" s="14" t="s">
        <v>92</v>
      </c>
      <c r="E64" s="14">
        <v>3</v>
      </c>
    </row>
    <row r="65" spans="1:5" ht="26.4">
      <c r="A65" s="2">
        <f t="shared" si="2"/>
        <v>57</v>
      </c>
      <c r="B65" s="5" t="s">
        <v>93</v>
      </c>
      <c r="C65" s="14" t="s">
        <v>87</v>
      </c>
      <c r="D65" s="14" t="s">
        <v>94</v>
      </c>
      <c r="E65" s="14">
        <v>2</v>
      </c>
    </row>
    <row r="66" spans="1:5">
      <c r="A66" s="2">
        <f t="shared" si="2"/>
        <v>58</v>
      </c>
      <c r="B66" s="5" t="s">
        <v>95</v>
      </c>
      <c r="C66" s="14" t="s">
        <v>87</v>
      </c>
      <c r="D66" s="14" t="s">
        <v>96</v>
      </c>
      <c r="E66" s="14">
        <v>6</v>
      </c>
    </row>
    <row r="67" spans="1:5" ht="15.6">
      <c r="A67" s="47" t="s">
        <v>97</v>
      </c>
      <c r="B67" s="47"/>
      <c r="C67" s="47"/>
      <c r="D67" s="47"/>
      <c r="E67" s="47"/>
    </row>
    <row r="68" spans="1:5">
      <c r="A68" s="14">
        <v>59</v>
      </c>
      <c r="B68" s="5" t="s">
        <v>98</v>
      </c>
      <c r="C68" s="14" t="s">
        <v>97</v>
      </c>
      <c r="D68" s="14" t="s">
        <v>99</v>
      </c>
      <c r="E68" s="14">
        <v>1</v>
      </c>
    </row>
    <row r="69" spans="1:5">
      <c r="A69" s="14">
        <f>A68+1</f>
        <v>60</v>
      </c>
      <c r="B69" s="5" t="s">
        <v>100</v>
      </c>
      <c r="C69" s="14" t="s">
        <v>97</v>
      </c>
      <c r="D69" s="14" t="s">
        <v>101</v>
      </c>
      <c r="E69" s="14">
        <v>2</v>
      </c>
    </row>
    <row r="70" spans="1:5" customFormat="1">
      <c r="A70" s="14">
        <f t="shared" ref="A70:A92" si="3">A69+1</f>
        <v>61</v>
      </c>
      <c r="B70" s="5" t="s">
        <v>102</v>
      </c>
      <c r="C70" s="14" t="s">
        <v>97</v>
      </c>
      <c r="D70" s="14" t="s">
        <v>103</v>
      </c>
      <c r="E70" s="14">
        <v>3</v>
      </c>
    </row>
    <row r="71" spans="1:5" customFormat="1">
      <c r="A71" s="14">
        <f t="shared" si="3"/>
        <v>62</v>
      </c>
      <c r="B71" s="5" t="s">
        <v>104</v>
      </c>
      <c r="C71" s="14" t="s">
        <v>97</v>
      </c>
      <c r="D71" s="14" t="s">
        <v>105</v>
      </c>
      <c r="E71" s="14">
        <v>2</v>
      </c>
    </row>
    <row r="72" spans="1:5" customFormat="1" ht="37.5" customHeight="1">
      <c r="A72" s="14">
        <f t="shared" si="3"/>
        <v>63</v>
      </c>
      <c r="B72" s="5" t="s">
        <v>106</v>
      </c>
      <c r="C72" s="14" t="s">
        <v>97</v>
      </c>
      <c r="D72" s="14" t="s">
        <v>107</v>
      </c>
      <c r="E72" s="14">
        <v>4</v>
      </c>
    </row>
    <row r="73" spans="1:5" customFormat="1">
      <c r="A73" s="14">
        <f t="shared" si="3"/>
        <v>64</v>
      </c>
      <c r="B73" s="10" t="s">
        <v>108</v>
      </c>
      <c r="C73" s="34" t="s">
        <v>97</v>
      </c>
      <c r="D73" s="34">
        <v>894000002</v>
      </c>
      <c r="E73" s="34">
        <v>4</v>
      </c>
    </row>
    <row r="74" spans="1:5" customFormat="1">
      <c r="A74" s="14">
        <f t="shared" si="3"/>
        <v>65</v>
      </c>
      <c r="B74" s="5" t="s">
        <v>109</v>
      </c>
      <c r="C74" s="14" t="s">
        <v>97</v>
      </c>
      <c r="D74" s="14" t="s">
        <v>110</v>
      </c>
      <c r="E74" s="14">
        <v>36</v>
      </c>
    </row>
    <row r="75" spans="1:5" customFormat="1" ht="26.4">
      <c r="A75" s="14">
        <f t="shared" si="3"/>
        <v>66</v>
      </c>
      <c r="B75" s="5" t="s">
        <v>111</v>
      </c>
      <c r="C75" s="14" t="s">
        <v>97</v>
      </c>
      <c r="D75" s="14" t="s">
        <v>112</v>
      </c>
      <c r="E75" s="14">
        <v>4</v>
      </c>
    </row>
    <row r="76" spans="1:5" customFormat="1">
      <c r="A76" s="14">
        <f t="shared" si="3"/>
        <v>67</v>
      </c>
      <c r="B76" s="10" t="s">
        <v>113</v>
      </c>
      <c r="C76" s="34" t="s">
        <v>97</v>
      </c>
      <c r="D76" s="34" t="s">
        <v>114</v>
      </c>
      <c r="E76" s="34">
        <v>4</v>
      </c>
    </row>
    <row r="77" spans="1:5" customFormat="1" ht="26.4">
      <c r="A77" s="14">
        <f t="shared" si="3"/>
        <v>68</v>
      </c>
      <c r="B77" s="10" t="s">
        <v>115</v>
      </c>
      <c r="C77" s="34" t="s">
        <v>97</v>
      </c>
      <c r="D77" s="34" t="s">
        <v>116</v>
      </c>
      <c r="E77" s="34">
        <v>18</v>
      </c>
    </row>
    <row r="78" spans="1:5" ht="26.4">
      <c r="A78" s="14">
        <f t="shared" si="3"/>
        <v>69</v>
      </c>
      <c r="B78" s="10" t="s">
        <v>117</v>
      </c>
      <c r="C78" s="34" t="s">
        <v>97</v>
      </c>
      <c r="D78" s="34" t="s">
        <v>118</v>
      </c>
      <c r="E78" s="34">
        <v>9</v>
      </c>
    </row>
    <row r="79" spans="1:5" ht="26.4">
      <c r="A79" s="14">
        <f t="shared" si="3"/>
        <v>70</v>
      </c>
      <c r="B79" s="10" t="s">
        <v>119</v>
      </c>
      <c r="C79" s="34" t="s">
        <v>97</v>
      </c>
      <c r="D79" s="34" t="s">
        <v>120</v>
      </c>
      <c r="E79" s="34">
        <v>6</v>
      </c>
    </row>
    <row r="80" spans="1:5" ht="26.4">
      <c r="A80" s="14">
        <f t="shared" si="3"/>
        <v>71</v>
      </c>
      <c r="B80" s="10" t="s">
        <v>121</v>
      </c>
      <c r="C80" s="34" t="s">
        <v>97</v>
      </c>
      <c r="D80" s="34" t="s">
        <v>122</v>
      </c>
      <c r="E80" s="34">
        <v>3</v>
      </c>
    </row>
    <row r="81" spans="1:5" ht="26.4">
      <c r="A81" s="14">
        <f t="shared" si="3"/>
        <v>72</v>
      </c>
      <c r="B81" s="10" t="s">
        <v>123</v>
      </c>
      <c r="C81" s="34" t="s">
        <v>97</v>
      </c>
      <c r="D81" s="34" t="s">
        <v>124</v>
      </c>
      <c r="E81" s="34">
        <v>8</v>
      </c>
    </row>
    <row r="82" spans="1:5">
      <c r="A82" s="14">
        <f t="shared" si="3"/>
        <v>73</v>
      </c>
      <c r="B82" s="10" t="s">
        <v>125</v>
      </c>
      <c r="C82" s="34" t="s">
        <v>97</v>
      </c>
      <c r="D82" s="34" t="s">
        <v>126</v>
      </c>
      <c r="E82" s="34">
        <v>8</v>
      </c>
    </row>
    <row r="83" spans="1:5">
      <c r="A83" s="14">
        <f t="shared" si="3"/>
        <v>74</v>
      </c>
      <c r="B83" s="10" t="s">
        <v>125</v>
      </c>
      <c r="C83" s="34" t="s">
        <v>97</v>
      </c>
      <c r="D83" s="34" t="s">
        <v>126</v>
      </c>
      <c r="E83" s="34">
        <v>8</v>
      </c>
    </row>
    <row r="84" spans="1:5" ht="26.4">
      <c r="A84" s="14">
        <f>A82+1</f>
        <v>74</v>
      </c>
      <c r="B84" s="10" t="s">
        <v>127</v>
      </c>
      <c r="C84" s="34" t="s">
        <v>97</v>
      </c>
      <c r="D84" s="34" t="s">
        <v>128</v>
      </c>
      <c r="E84" s="34">
        <v>2</v>
      </c>
    </row>
    <row r="85" spans="1:5">
      <c r="A85" s="14">
        <f t="shared" si="3"/>
        <v>75</v>
      </c>
      <c r="B85" s="10" t="s">
        <v>125</v>
      </c>
      <c r="C85" s="34" t="s">
        <v>97</v>
      </c>
      <c r="D85" s="34" t="s">
        <v>129</v>
      </c>
      <c r="E85" s="34">
        <v>2</v>
      </c>
    </row>
    <row r="86" spans="1:5" ht="26.4">
      <c r="A86" s="14">
        <f t="shared" si="3"/>
        <v>76</v>
      </c>
      <c r="B86" s="10" t="s">
        <v>130</v>
      </c>
      <c r="C86" s="34" t="s">
        <v>97</v>
      </c>
      <c r="D86" s="34" t="s">
        <v>131</v>
      </c>
      <c r="E86" s="34">
        <v>2</v>
      </c>
    </row>
    <row r="87" spans="1:5">
      <c r="A87" s="14">
        <f t="shared" si="3"/>
        <v>77</v>
      </c>
      <c r="B87" s="10" t="s">
        <v>125</v>
      </c>
      <c r="C87" s="34" t="s">
        <v>97</v>
      </c>
      <c r="D87" s="34" t="s">
        <v>132</v>
      </c>
      <c r="E87" s="34">
        <v>2</v>
      </c>
    </row>
    <row r="88" spans="1:5" ht="26.4">
      <c r="A88" s="14">
        <f t="shared" si="3"/>
        <v>78</v>
      </c>
      <c r="B88" s="10" t="s">
        <v>133</v>
      </c>
      <c r="C88" s="34" t="s">
        <v>97</v>
      </c>
      <c r="D88" s="34" t="s">
        <v>134</v>
      </c>
      <c r="E88" s="34">
        <v>16</v>
      </c>
    </row>
    <row r="89" spans="1:5">
      <c r="A89" s="14">
        <f t="shared" si="3"/>
        <v>79</v>
      </c>
      <c r="B89" s="10" t="s">
        <v>135</v>
      </c>
      <c r="C89" s="34" t="s">
        <v>97</v>
      </c>
      <c r="D89" s="34" t="s">
        <v>136</v>
      </c>
      <c r="E89" s="34">
        <v>3</v>
      </c>
    </row>
    <row r="90" spans="1:5">
      <c r="A90" s="14">
        <f t="shared" si="3"/>
        <v>80</v>
      </c>
      <c r="B90" s="10" t="s">
        <v>137</v>
      </c>
      <c r="C90" s="34" t="s">
        <v>97</v>
      </c>
      <c r="D90" s="34">
        <v>892131120</v>
      </c>
      <c r="E90" s="34">
        <v>3</v>
      </c>
    </row>
    <row r="91" spans="1:5">
      <c r="A91" s="14">
        <f t="shared" si="3"/>
        <v>81</v>
      </c>
      <c r="B91" s="10" t="s">
        <v>138</v>
      </c>
      <c r="C91" s="34" t="s">
        <v>97</v>
      </c>
      <c r="D91" s="34">
        <v>892131130</v>
      </c>
      <c r="E91" s="34">
        <v>2</v>
      </c>
    </row>
    <row r="92" spans="1:5">
      <c r="A92" s="14">
        <f t="shared" si="3"/>
        <v>82</v>
      </c>
      <c r="B92" s="10" t="s">
        <v>139</v>
      </c>
      <c r="C92" s="34" t="s">
        <v>97</v>
      </c>
      <c r="D92" s="34" t="s">
        <v>140</v>
      </c>
      <c r="E92" s="34">
        <v>1</v>
      </c>
    </row>
    <row r="93" spans="1:5" ht="15.6">
      <c r="A93" s="47" t="s">
        <v>141</v>
      </c>
      <c r="B93" s="47"/>
      <c r="C93" s="47"/>
      <c r="D93" s="47"/>
      <c r="E93" s="47"/>
    </row>
    <row r="94" spans="1:5" s="12" customFormat="1" ht="26.4">
      <c r="A94" s="14">
        <v>83</v>
      </c>
      <c r="B94" s="5" t="s">
        <v>142</v>
      </c>
      <c r="C94" s="14" t="s">
        <v>143</v>
      </c>
      <c r="D94" s="14" t="s">
        <v>144</v>
      </c>
      <c r="E94" s="14">
        <v>2</v>
      </c>
    </row>
    <row r="95" spans="1:5" s="12" customFormat="1">
      <c r="A95" s="14">
        <v>84</v>
      </c>
      <c r="B95" s="5" t="s">
        <v>145</v>
      </c>
      <c r="C95" s="14" t="s">
        <v>143</v>
      </c>
      <c r="D95" s="14" t="s">
        <v>146</v>
      </c>
      <c r="E95" s="14">
        <v>2</v>
      </c>
    </row>
    <row r="96" spans="1:5" s="12" customFormat="1" ht="15.6">
      <c r="A96" s="47" t="s">
        <v>147</v>
      </c>
      <c r="B96" s="47"/>
      <c r="C96" s="47"/>
      <c r="D96" s="47"/>
      <c r="E96" s="47"/>
    </row>
    <row r="97" spans="1:5" s="12" customFormat="1" ht="39.6">
      <c r="A97" s="14">
        <v>85</v>
      </c>
      <c r="B97" s="5" t="s">
        <v>148</v>
      </c>
      <c r="C97" s="14" t="s">
        <v>147</v>
      </c>
      <c r="D97" s="14" t="s">
        <v>149</v>
      </c>
      <c r="E97" s="14">
        <v>2</v>
      </c>
    </row>
    <row r="98" spans="1:5" s="12" customFormat="1" ht="39.6">
      <c r="A98" s="14">
        <v>86</v>
      </c>
      <c r="B98" s="5" t="s">
        <v>150</v>
      </c>
      <c r="C98" s="14" t="s">
        <v>147</v>
      </c>
      <c r="D98" s="14" t="s">
        <v>151</v>
      </c>
      <c r="E98" s="14">
        <v>1</v>
      </c>
    </row>
    <row r="99" spans="1:5" s="12" customFormat="1" ht="15.6">
      <c r="A99" s="47" t="s">
        <v>152</v>
      </c>
      <c r="B99" s="47"/>
      <c r="C99" s="47"/>
      <c r="D99" s="47"/>
      <c r="E99" s="47"/>
    </row>
    <row r="100" spans="1:5" s="12" customFormat="1">
      <c r="A100" s="44">
        <v>87</v>
      </c>
      <c r="B100" s="41" t="s">
        <v>153</v>
      </c>
      <c r="C100" s="38" t="s">
        <v>154</v>
      </c>
      <c r="D100" s="38" t="s">
        <v>155</v>
      </c>
      <c r="E100" s="44">
        <v>2</v>
      </c>
    </row>
    <row r="101" spans="1:5" ht="15.6">
      <c r="A101" s="47" t="s">
        <v>156</v>
      </c>
      <c r="B101" s="47"/>
      <c r="C101" s="47"/>
      <c r="D101" s="47"/>
      <c r="E101" s="47"/>
    </row>
    <row r="102" spans="1:5">
      <c r="A102" s="16">
        <v>88</v>
      </c>
      <c r="B102" s="15" t="s">
        <v>157</v>
      </c>
      <c r="C102" s="16" t="s">
        <v>158</v>
      </c>
      <c r="D102" s="16" t="s">
        <v>159</v>
      </c>
      <c r="E102" s="16">
        <v>1</v>
      </c>
    </row>
    <row r="103" spans="1:5" ht="15.6">
      <c r="A103" s="47" t="s">
        <v>160</v>
      </c>
      <c r="B103" s="47"/>
      <c r="C103" s="47"/>
      <c r="D103" s="47"/>
      <c r="E103" s="47"/>
    </row>
    <row r="104" spans="1:5">
      <c r="A104" s="16">
        <v>89</v>
      </c>
      <c r="B104" s="15" t="s">
        <v>161</v>
      </c>
      <c r="C104" s="16" t="s">
        <v>162</v>
      </c>
      <c r="D104" s="16" t="s">
        <v>163</v>
      </c>
      <c r="E104" s="16">
        <v>2</v>
      </c>
    </row>
    <row r="105" spans="1:5" ht="15.6">
      <c r="A105" s="47" t="s">
        <v>164</v>
      </c>
      <c r="B105" s="47"/>
      <c r="C105" s="47"/>
      <c r="D105" s="47"/>
      <c r="E105" s="47"/>
    </row>
    <row r="106" spans="1:5" ht="15.6">
      <c r="A106" s="49" t="s">
        <v>165</v>
      </c>
      <c r="B106" s="50"/>
      <c r="C106" s="50"/>
      <c r="D106" s="50"/>
      <c r="E106" s="50"/>
    </row>
    <row r="107" spans="1:5">
      <c r="A107" s="17">
        <v>90</v>
      </c>
      <c r="B107" s="10" t="s">
        <v>166</v>
      </c>
      <c r="C107" s="34" t="s">
        <v>165</v>
      </c>
      <c r="D107" s="34">
        <v>1631930000</v>
      </c>
      <c r="E107" s="34">
        <v>50</v>
      </c>
    </row>
    <row r="108" spans="1:5">
      <c r="A108" s="17">
        <f>A107+1</f>
        <v>91</v>
      </c>
      <c r="B108" s="10" t="s">
        <v>167</v>
      </c>
      <c r="C108" s="34" t="s">
        <v>165</v>
      </c>
      <c r="D108" s="34">
        <v>1050000000</v>
      </c>
      <c r="E108" s="34">
        <v>55</v>
      </c>
    </row>
    <row r="109" spans="1:5">
      <c r="A109" s="17">
        <f t="shared" ref="A109:A123" si="4">A108+1</f>
        <v>92</v>
      </c>
      <c r="B109" s="10" t="s">
        <v>168</v>
      </c>
      <c r="C109" s="34" t="s">
        <v>165</v>
      </c>
      <c r="D109" s="34">
        <v>1061200000</v>
      </c>
      <c r="E109" s="34">
        <v>63</v>
      </c>
    </row>
    <row r="110" spans="1:5" ht="26.4">
      <c r="A110" s="17">
        <f t="shared" si="4"/>
        <v>93</v>
      </c>
      <c r="B110" s="10" t="s">
        <v>169</v>
      </c>
      <c r="C110" s="34" t="s">
        <v>165</v>
      </c>
      <c r="D110" s="34">
        <v>1011300000</v>
      </c>
      <c r="E110" s="34">
        <v>217</v>
      </c>
    </row>
    <row r="111" spans="1:5">
      <c r="A111" s="17">
        <f t="shared" si="4"/>
        <v>94</v>
      </c>
      <c r="B111" s="10" t="s">
        <v>170</v>
      </c>
      <c r="C111" s="34" t="s">
        <v>165</v>
      </c>
      <c r="D111" s="34">
        <v>1020300000</v>
      </c>
      <c r="E111" s="34">
        <v>18</v>
      </c>
    </row>
    <row r="112" spans="1:5" ht="26.4">
      <c r="A112" s="17">
        <f t="shared" si="4"/>
        <v>95</v>
      </c>
      <c r="B112" s="10" t="s">
        <v>171</v>
      </c>
      <c r="C112" s="34" t="s">
        <v>165</v>
      </c>
      <c r="D112" s="34">
        <v>1010300000</v>
      </c>
      <c r="E112" s="34">
        <v>2</v>
      </c>
    </row>
    <row r="113" spans="1:5">
      <c r="A113" s="17">
        <f t="shared" si="4"/>
        <v>96</v>
      </c>
      <c r="B113" s="10" t="s">
        <v>172</v>
      </c>
      <c r="C113" s="34" t="s">
        <v>165</v>
      </c>
      <c r="D113" s="34">
        <v>1020500000</v>
      </c>
      <c r="E113" s="34">
        <v>2</v>
      </c>
    </row>
    <row r="114" spans="1:5">
      <c r="A114" s="17">
        <f t="shared" si="4"/>
        <v>97</v>
      </c>
      <c r="B114" s="10" t="s">
        <v>173</v>
      </c>
      <c r="C114" s="34" t="s">
        <v>165</v>
      </c>
      <c r="D114" s="34">
        <v>1010500000</v>
      </c>
      <c r="E114" s="34">
        <v>1</v>
      </c>
    </row>
    <row r="115" spans="1:5">
      <c r="A115" s="17">
        <f t="shared" si="4"/>
        <v>98</v>
      </c>
      <c r="B115" s="10" t="s">
        <v>173</v>
      </c>
      <c r="C115" s="34" t="s">
        <v>165</v>
      </c>
      <c r="D115" s="34">
        <v>1010500000</v>
      </c>
      <c r="E115" s="34">
        <v>1</v>
      </c>
    </row>
    <row r="116" spans="1:5">
      <c r="A116" s="17">
        <f>A114+1</f>
        <v>98</v>
      </c>
      <c r="B116" s="10" t="s">
        <v>174</v>
      </c>
      <c r="C116" s="34" t="s">
        <v>165</v>
      </c>
      <c r="D116" s="34">
        <v>1052460000</v>
      </c>
      <c r="E116" s="34">
        <v>2</v>
      </c>
    </row>
    <row r="117" spans="1:5">
      <c r="A117" s="17">
        <f t="shared" si="4"/>
        <v>99</v>
      </c>
      <c r="B117" s="10" t="s">
        <v>175</v>
      </c>
      <c r="C117" s="34" t="s">
        <v>165</v>
      </c>
      <c r="D117" s="34">
        <v>545300000</v>
      </c>
      <c r="E117" s="34">
        <v>5</v>
      </c>
    </row>
    <row r="118" spans="1:5">
      <c r="A118" s="17">
        <f t="shared" si="4"/>
        <v>100</v>
      </c>
      <c r="B118" s="10" t="s">
        <v>176</v>
      </c>
      <c r="C118" s="34" t="s">
        <v>165</v>
      </c>
      <c r="D118" s="34">
        <v>546040000</v>
      </c>
      <c r="E118" s="34">
        <v>5</v>
      </c>
    </row>
    <row r="119" spans="1:5">
      <c r="A119" s="17">
        <f t="shared" si="4"/>
        <v>101</v>
      </c>
      <c r="B119" s="10" t="s">
        <v>177</v>
      </c>
      <c r="C119" s="34" t="s">
        <v>165</v>
      </c>
      <c r="D119" s="34">
        <v>7910180000</v>
      </c>
      <c r="E119" s="34">
        <v>22</v>
      </c>
    </row>
    <row r="120" spans="1:5">
      <c r="A120" s="17">
        <f t="shared" si="4"/>
        <v>102</v>
      </c>
      <c r="B120" s="10" t="s">
        <v>178</v>
      </c>
      <c r="C120" s="34" t="s">
        <v>165</v>
      </c>
      <c r="D120" s="34">
        <v>1758260000</v>
      </c>
      <c r="E120" s="34">
        <v>3</v>
      </c>
    </row>
    <row r="121" spans="1:5">
      <c r="A121" s="17">
        <f t="shared" si="4"/>
        <v>103</v>
      </c>
      <c r="B121" s="10" t="s">
        <v>179</v>
      </c>
      <c r="C121" s="34" t="s">
        <v>165</v>
      </c>
      <c r="D121" s="34">
        <v>1855610000</v>
      </c>
      <c r="E121" s="34">
        <v>180</v>
      </c>
    </row>
    <row r="122" spans="1:5">
      <c r="A122" s="17">
        <f t="shared" si="4"/>
        <v>104</v>
      </c>
      <c r="B122" s="5" t="s">
        <v>180</v>
      </c>
      <c r="C122" s="14" t="s">
        <v>165</v>
      </c>
      <c r="D122" s="14">
        <v>1010000000</v>
      </c>
      <c r="E122" s="34">
        <v>254</v>
      </c>
    </row>
    <row r="123" spans="1:5">
      <c r="A123" s="17">
        <f t="shared" si="4"/>
        <v>105</v>
      </c>
      <c r="B123" s="5" t="s">
        <v>181</v>
      </c>
      <c r="C123" s="14" t="s">
        <v>165</v>
      </c>
      <c r="D123" s="14">
        <v>8731640000</v>
      </c>
      <c r="E123" s="34">
        <v>156</v>
      </c>
    </row>
    <row r="124" spans="1:5" ht="15.6">
      <c r="A124" s="47" t="s">
        <v>182</v>
      </c>
      <c r="B124" s="47"/>
      <c r="C124" s="47"/>
      <c r="D124" s="47"/>
      <c r="E124" s="47"/>
    </row>
    <row r="125" spans="1:5">
      <c r="A125" s="17">
        <v>106</v>
      </c>
      <c r="B125" s="5" t="s">
        <v>183</v>
      </c>
      <c r="C125" s="14" t="s">
        <v>182</v>
      </c>
      <c r="D125" s="14">
        <v>3240351</v>
      </c>
      <c r="E125" s="14">
        <v>2</v>
      </c>
    </row>
    <row r="126" spans="1:5">
      <c r="A126" s="17">
        <f>A125+1</f>
        <v>107</v>
      </c>
      <c r="B126" s="5" t="s">
        <v>184</v>
      </c>
      <c r="C126" s="14" t="s">
        <v>182</v>
      </c>
      <c r="D126" s="14">
        <v>3240355</v>
      </c>
      <c r="E126" s="14">
        <v>6</v>
      </c>
    </row>
    <row r="127" spans="1:5">
      <c r="A127" s="17">
        <f t="shared" ref="A127:A133" si="5">A126+1</f>
        <v>108</v>
      </c>
      <c r="B127" s="5" t="s">
        <v>185</v>
      </c>
      <c r="C127" s="14" t="s">
        <v>182</v>
      </c>
      <c r="D127" s="14">
        <v>3240360</v>
      </c>
      <c r="E127" s="14">
        <v>8</v>
      </c>
    </row>
    <row r="128" spans="1:5">
      <c r="A128" s="17">
        <f t="shared" si="5"/>
        <v>109</v>
      </c>
      <c r="B128" s="5" t="s">
        <v>186</v>
      </c>
      <c r="C128" s="14" t="s">
        <v>182</v>
      </c>
      <c r="D128" s="14">
        <v>3240364</v>
      </c>
      <c r="E128" s="14">
        <v>8</v>
      </c>
    </row>
    <row r="129" spans="1:5">
      <c r="A129" s="17">
        <f t="shared" si="5"/>
        <v>110</v>
      </c>
      <c r="B129" s="5" t="s">
        <v>187</v>
      </c>
      <c r="C129" s="14" t="s">
        <v>182</v>
      </c>
      <c r="D129" s="14">
        <v>3240606</v>
      </c>
      <c r="E129" s="14">
        <v>2</v>
      </c>
    </row>
    <row r="130" spans="1:5">
      <c r="A130" s="17">
        <f t="shared" si="5"/>
        <v>111</v>
      </c>
      <c r="B130" s="5" t="s">
        <v>188</v>
      </c>
      <c r="C130" s="14" t="s">
        <v>182</v>
      </c>
      <c r="D130" s="14">
        <v>1206421</v>
      </c>
      <c r="E130" s="14">
        <v>10</v>
      </c>
    </row>
    <row r="131" spans="1:5">
      <c r="A131" s="17">
        <f t="shared" si="5"/>
        <v>112</v>
      </c>
      <c r="B131" s="5" t="s">
        <v>189</v>
      </c>
      <c r="C131" s="14" t="s">
        <v>182</v>
      </c>
      <c r="D131" s="14">
        <v>1206560</v>
      </c>
      <c r="E131" s="14">
        <v>35</v>
      </c>
    </row>
    <row r="132" spans="1:5">
      <c r="A132" s="17">
        <f t="shared" si="5"/>
        <v>113</v>
      </c>
      <c r="B132" s="5" t="s">
        <v>190</v>
      </c>
      <c r="C132" s="14" t="s">
        <v>182</v>
      </c>
      <c r="D132" s="14">
        <v>2909653</v>
      </c>
      <c r="E132" s="14">
        <v>3</v>
      </c>
    </row>
    <row r="133" spans="1:5">
      <c r="A133" s="17">
        <f t="shared" si="5"/>
        <v>114</v>
      </c>
      <c r="B133" s="5" t="s">
        <v>191</v>
      </c>
      <c r="C133" s="14" t="s">
        <v>182</v>
      </c>
      <c r="D133" s="14">
        <v>1100077</v>
      </c>
      <c r="E133" s="14">
        <v>2</v>
      </c>
    </row>
    <row r="134" spans="1:5" ht="15.6">
      <c r="A134" s="47" t="s">
        <v>192</v>
      </c>
      <c r="B134" s="47"/>
      <c r="C134" s="47"/>
      <c r="D134" s="47"/>
      <c r="E134" s="47"/>
    </row>
    <row r="135" spans="1:5">
      <c r="A135" s="34">
        <v>115</v>
      </c>
      <c r="B135" s="10" t="s">
        <v>193</v>
      </c>
      <c r="C135" s="34" t="s">
        <v>192</v>
      </c>
      <c r="D135" s="34" t="s">
        <v>194</v>
      </c>
      <c r="E135" s="34">
        <v>2</v>
      </c>
    </row>
    <row r="136" spans="1:5">
      <c r="A136" s="34">
        <f>A135+1</f>
        <v>116</v>
      </c>
      <c r="B136" s="10" t="s">
        <v>195</v>
      </c>
      <c r="C136" s="34" t="s">
        <v>192</v>
      </c>
      <c r="D136" s="34" t="s">
        <v>196</v>
      </c>
      <c r="E136" s="34">
        <v>53</v>
      </c>
    </row>
    <row r="137" spans="1:5">
      <c r="A137" s="34">
        <f t="shared" ref="A137:A144" si="6">A136+1</f>
        <v>117</v>
      </c>
      <c r="B137" s="10" t="s">
        <v>197</v>
      </c>
      <c r="C137" s="34" t="s">
        <v>192</v>
      </c>
      <c r="D137" s="34" t="s">
        <v>198</v>
      </c>
      <c r="E137" s="34">
        <v>7</v>
      </c>
    </row>
    <row r="138" spans="1:5">
      <c r="A138" s="34">
        <f t="shared" si="6"/>
        <v>118</v>
      </c>
      <c r="B138" s="10" t="s">
        <v>199</v>
      </c>
      <c r="C138" s="34" t="s">
        <v>192</v>
      </c>
      <c r="D138" s="34" t="s">
        <v>200</v>
      </c>
      <c r="E138" s="34">
        <v>2</v>
      </c>
    </row>
    <row r="139" spans="1:5">
      <c r="A139" s="34">
        <f t="shared" si="6"/>
        <v>119</v>
      </c>
      <c r="B139" s="10" t="s">
        <v>201</v>
      </c>
      <c r="C139" s="34" t="s">
        <v>192</v>
      </c>
      <c r="D139" s="34" t="s">
        <v>202</v>
      </c>
      <c r="E139" s="35">
        <v>8</v>
      </c>
    </row>
    <row r="140" spans="1:5">
      <c r="A140" s="34">
        <f t="shared" si="6"/>
        <v>120</v>
      </c>
      <c r="B140" s="10" t="s">
        <v>203</v>
      </c>
      <c r="C140" s="34" t="s">
        <v>192</v>
      </c>
      <c r="D140" s="34" t="s">
        <v>204</v>
      </c>
      <c r="E140" s="34">
        <v>7</v>
      </c>
    </row>
    <row r="141" spans="1:5">
      <c r="A141" s="34">
        <f t="shared" si="6"/>
        <v>121</v>
      </c>
      <c r="B141" s="10" t="s">
        <v>205</v>
      </c>
      <c r="C141" s="34" t="s">
        <v>192</v>
      </c>
      <c r="D141" s="34" t="s">
        <v>206</v>
      </c>
      <c r="E141" s="34">
        <v>18</v>
      </c>
    </row>
    <row r="142" spans="1:5">
      <c r="A142" s="34">
        <f t="shared" si="6"/>
        <v>122</v>
      </c>
      <c r="B142" s="10" t="s">
        <v>207</v>
      </c>
      <c r="C142" s="34" t="s">
        <v>192</v>
      </c>
      <c r="D142" s="34" t="s">
        <v>208</v>
      </c>
      <c r="E142" s="34">
        <v>1</v>
      </c>
    </row>
    <row r="143" spans="1:5" ht="16.2" customHeight="1">
      <c r="A143" s="34">
        <f t="shared" si="6"/>
        <v>123</v>
      </c>
      <c r="B143" s="10" t="s">
        <v>209</v>
      </c>
      <c r="C143" s="34" t="s">
        <v>192</v>
      </c>
      <c r="D143" s="34" t="s">
        <v>210</v>
      </c>
      <c r="E143" s="34">
        <v>2</v>
      </c>
    </row>
    <row r="144" spans="1:5" ht="16.2" customHeight="1">
      <c r="A144" s="34">
        <f t="shared" si="6"/>
        <v>124</v>
      </c>
      <c r="B144" s="10" t="s">
        <v>211</v>
      </c>
      <c r="C144" s="34" t="s">
        <v>192</v>
      </c>
      <c r="D144" s="34" t="s">
        <v>212</v>
      </c>
      <c r="E144" s="34">
        <v>8</v>
      </c>
    </row>
    <row r="145" spans="1:5">
      <c r="A145" s="48" t="s">
        <v>213</v>
      </c>
      <c r="B145" s="48"/>
      <c r="C145" s="48"/>
      <c r="D145" s="48"/>
      <c r="E145" s="48"/>
    </row>
    <row r="146" spans="1:5">
      <c r="A146" s="48"/>
      <c r="B146" s="48"/>
      <c r="C146" s="48"/>
      <c r="D146" s="48"/>
      <c r="E146" s="48"/>
    </row>
    <row r="147" spans="1:5">
      <c r="A147" s="48"/>
      <c r="B147" s="48"/>
      <c r="C147" s="48"/>
      <c r="D147" s="48"/>
      <c r="E147" s="48"/>
    </row>
    <row r="148" spans="1:5">
      <c r="A148" s="48"/>
      <c r="B148" s="48"/>
      <c r="C148" s="48"/>
      <c r="D148" s="48"/>
      <c r="E148" s="48"/>
    </row>
    <row r="149" spans="1:5" ht="15.6">
      <c r="A149" s="22" t="s">
        <v>214</v>
      </c>
      <c r="B149" s="23" t="s">
        <v>215</v>
      </c>
      <c r="C149" s="22" t="s">
        <v>3</v>
      </c>
      <c r="D149" s="22" t="s">
        <v>216</v>
      </c>
      <c r="E149" s="22" t="s">
        <v>217</v>
      </c>
    </row>
    <row r="150" spans="1:5" ht="26.4">
      <c r="A150" s="18">
        <v>1</v>
      </c>
      <c r="B150" s="20" t="s">
        <v>218</v>
      </c>
      <c r="C150" s="21" t="s">
        <v>219</v>
      </c>
      <c r="D150" s="18" t="s">
        <v>220</v>
      </c>
      <c r="E150" s="18">
        <v>3</v>
      </c>
    </row>
    <row r="151" spans="1:5" ht="26.4">
      <c r="A151" s="18">
        <f>A150+1</f>
        <v>2</v>
      </c>
      <c r="B151" s="20" t="s">
        <v>221</v>
      </c>
      <c r="C151" s="21" t="s">
        <v>222</v>
      </c>
      <c r="D151" s="18" t="s">
        <v>223</v>
      </c>
      <c r="E151" s="18">
        <v>3</v>
      </c>
    </row>
    <row r="152" spans="1:5" ht="26.4">
      <c r="A152" s="18">
        <f t="shared" ref="A152:A214" si="7">A151+1</f>
        <v>3</v>
      </c>
      <c r="B152" s="20" t="s">
        <v>224</v>
      </c>
      <c r="C152" s="21" t="s">
        <v>225</v>
      </c>
      <c r="D152" s="18" t="s">
        <v>226</v>
      </c>
      <c r="E152" s="18">
        <v>5</v>
      </c>
    </row>
    <row r="153" spans="1:5" ht="26.4">
      <c r="A153" s="18">
        <f t="shared" si="7"/>
        <v>4</v>
      </c>
      <c r="B153" s="20" t="s">
        <v>227</v>
      </c>
      <c r="C153" s="21" t="s">
        <v>222</v>
      </c>
      <c r="D153" s="18" t="s">
        <v>228</v>
      </c>
      <c r="E153" s="18">
        <v>3</v>
      </c>
    </row>
    <row r="154" spans="1:5" ht="26.4">
      <c r="A154" s="18">
        <f t="shared" si="7"/>
        <v>5</v>
      </c>
      <c r="B154" s="20" t="s">
        <v>229</v>
      </c>
      <c r="C154" s="21" t="s">
        <v>222</v>
      </c>
      <c r="D154" s="18" t="s">
        <v>230</v>
      </c>
      <c r="E154" s="18">
        <v>5</v>
      </c>
    </row>
    <row r="155" spans="1:5" ht="26.4">
      <c r="A155" s="18">
        <f t="shared" si="7"/>
        <v>6</v>
      </c>
      <c r="B155" s="20" t="s">
        <v>231</v>
      </c>
      <c r="C155" s="21" t="s">
        <v>222</v>
      </c>
      <c r="D155" s="18" t="s">
        <v>232</v>
      </c>
      <c r="E155" s="18">
        <v>1</v>
      </c>
    </row>
    <row r="156" spans="1:5" ht="26.4">
      <c r="A156" s="18">
        <f t="shared" si="7"/>
        <v>7</v>
      </c>
      <c r="B156" s="20" t="s">
        <v>233</v>
      </c>
      <c r="C156" s="21" t="s">
        <v>234</v>
      </c>
      <c r="D156" s="18" t="s">
        <v>235</v>
      </c>
      <c r="E156" s="18">
        <v>2</v>
      </c>
    </row>
    <row r="157" spans="1:5" ht="26.4">
      <c r="A157" s="18">
        <f t="shared" si="7"/>
        <v>8</v>
      </c>
      <c r="B157" s="20" t="s">
        <v>236</v>
      </c>
      <c r="C157" s="21" t="s">
        <v>237</v>
      </c>
      <c r="D157" s="18" t="s">
        <v>238</v>
      </c>
      <c r="E157" s="18">
        <v>1</v>
      </c>
    </row>
    <row r="158" spans="1:5" ht="39.6">
      <c r="A158" s="18">
        <f t="shared" si="7"/>
        <v>9</v>
      </c>
      <c r="B158" s="20" t="s">
        <v>239</v>
      </c>
      <c r="C158" s="21" t="s">
        <v>237</v>
      </c>
      <c r="D158" s="18" t="s">
        <v>240</v>
      </c>
      <c r="E158" s="18">
        <v>3</v>
      </c>
    </row>
    <row r="159" spans="1:5" ht="39.6">
      <c r="A159" s="18">
        <f t="shared" si="7"/>
        <v>10</v>
      </c>
      <c r="B159" s="20" t="s">
        <v>241</v>
      </c>
      <c r="C159" s="21" t="s">
        <v>242</v>
      </c>
      <c r="D159" s="18" t="s">
        <v>243</v>
      </c>
      <c r="E159" s="18">
        <v>3</v>
      </c>
    </row>
    <row r="160" spans="1:5" ht="26.4">
      <c r="A160" s="18">
        <f t="shared" si="7"/>
        <v>11</v>
      </c>
      <c r="B160" s="20" t="s">
        <v>244</v>
      </c>
      <c r="C160" s="21" t="s">
        <v>245</v>
      </c>
      <c r="D160" s="18" t="s">
        <v>246</v>
      </c>
      <c r="E160" s="18">
        <v>1</v>
      </c>
    </row>
    <row r="161" spans="1:5" ht="52.8">
      <c r="A161" s="18">
        <f t="shared" si="7"/>
        <v>12</v>
      </c>
      <c r="B161" s="20" t="s">
        <v>247</v>
      </c>
      <c r="C161" s="21" t="s">
        <v>248</v>
      </c>
      <c r="D161" s="18" t="s">
        <v>249</v>
      </c>
      <c r="E161" s="18">
        <v>3</v>
      </c>
    </row>
    <row r="162" spans="1:5" ht="39.6">
      <c r="A162" s="18">
        <f t="shared" si="7"/>
        <v>13</v>
      </c>
      <c r="B162" s="20" t="s">
        <v>250</v>
      </c>
      <c r="C162" s="21" t="s">
        <v>248</v>
      </c>
      <c r="D162" s="18" t="s">
        <v>251</v>
      </c>
      <c r="E162" s="18">
        <v>3</v>
      </c>
    </row>
    <row r="163" spans="1:5" ht="26.4">
      <c r="A163" s="18">
        <f t="shared" si="7"/>
        <v>14</v>
      </c>
      <c r="B163" s="20" t="s">
        <v>252</v>
      </c>
      <c r="C163" s="21" t="s">
        <v>253</v>
      </c>
      <c r="D163" s="18" t="s">
        <v>254</v>
      </c>
      <c r="E163" s="18">
        <v>1</v>
      </c>
    </row>
    <row r="164" spans="1:5" ht="105.6">
      <c r="A164" s="18">
        <f t="shared" si="7"/>
        <v>15</v>
      </c>
      <c r="B164" s="20" t="s">
        <v>255</v>
      </c>
      <c r="C164" s="21" t="s">
        <v>256</v>
      </c>
      <c r="D164" s="18" t="s">
        <v>257</v>
      </c>
      <c r="E164" s="18">
        <v>1</v>
      </c>
    </row>
    <row r="165" spans="1:5" ht="26.4">
      <c r="A165" s="18">
        <f t="shared" si="7"/>
        <v>16</v>
      </c>
      <c r="B165" s="20" t="s">
        <v>258</v>
      </c>
      <c r="C165" s="21" t="s">
        <v>259</v>
      </c>
      <c r="D165" s="18" t="s">
        <v>260</v>
      </c>
      <c r="E165" s="18">
        <v>1</v>
      </c>
    </row>
    <row r="166" spans="1:5" ht="39.6">
      <c r="A166" s="18">
        <f t="shared" si="7"/>
        <v>17</v>
      </c>
      <c r="B166" s="20" t="s">
        <v>261</v>
      </c>
      <c r="C166" s="21" t="s">
        <v>262</v>
      </c>
      <c r="D166" s="18" t="s">
        <v>263</v>
      </c>
      <c r="E166" s="18">
        <v>2</v>
      </c>
    </row>
    <row r="167" spans="1:5">
      <c r="A167" s="18">
        <f t="shared" si="7"/>
        <v>18</v>
      </c>
      <c r="B167" s="20" t="s">
        <v>264</v>
      </c>
      <c r="C167" s="21" t="s">
        <v>265</v>
      </c>
      <c r="D167" s="18" t="s">
        <v>266</v>
      </c>
      <c r="E167" s="18">
        <v>1</v>
      </c>
    </row>
    <row r="168" spans="1:5" ht="26.4">
      <c r="A168" s="18">
        <f t="shared" si="7"/>
        <v>19</v>
      </c>
      <c r="B168" s="20" t="s">
        <v>267</v>
      </c>
      <c r="C168" s="21" t="s">
        <v>268</v>
      </c>
      <c r="D168" s="18" t="s">
        <v>269</v>
      </c>
      <c r="E168" s="18">
        <v>1</v>
      </c>
    </row>
    <row r="169" spans="1:5" ht="171.6">
      <c r="A169" s="18">
        <f t="shared" si="7"/>
        <v>20</v>
      </c>
      <c r="B169" s="20" t="s">
        <v>270</v>
      </c>
      <c r="C169" s="21" t="s">
        <v>271</v>
      </c>
      <c r="D169" s="18" t="s">
        <v>272</v>
      </c>
      <c r="E169" s="18">
        <v>1</v>
      </c>
    </row>
    <row r="170" spans="1:5" ht="26.4">
      <c r="A170" s="18">
        <f t="shared" si="7"/>
        <v>21</v>
      </c>
      <c r="B170" s="20" t="s">
        <v>273</v>
      </c>
      <c r="C170" s="21" t="s">
        <v>274</v>
      </c>
      <c r="D170" s="18" t="s">
        <v>275</v>
      </c>
      <c r="E170" s="18">
        <v>10</v>
      </c>
    </row>
    <row r="171" spans="1:5" ht="26.4">
      <c r="A171" s="18">
        <f t="shared" si="7"/>
        <v>22</v>
      </c>
      <c r="B171" s="20" t="s">
        <v>276</v>
      </c>
      <c r="C171" s="21" t="s">
        <v>274</v>
      </c>
      <c r="D171" s="18" t="s">
        <v>277</v>
      </c>
      <c r="E171" s="18">
        <v>12</v>
      </c>
    </row>
    <row r="172" spans="1:5" ht="52.8">
      <c r="A172" s="18">
        <f t="shared" si="7"/>
        <v>23</v>
      </c>
      <c r="B172" s="20" t="s">
        <v>278</v>
      </c>
      <c r="C172" s="21" t="s">
        <v>279</v>
      </c>
      <c r="D172" s="18" t="s">
        <v>280</v>
      </c>
      <c r="E172" s="18">
        <v>1</v>
      </c>
    </row>
    <row r="173" spans="1:5" ht="52.8">
      <c r="A173" s="18">
        <f t="shared" si="7"/>
        <v>24</v>
      </c>
      <c r="B173" s="20" t="s">
        <v>281</v>
      </c>
      <c r="C173" s="21" t="s">
        <v>279</v>
      </c>
      <c r="D173" s="18" t="s">
        <v>282</v>
      </c>
      <c r="E173" s="18">
        <v>1</v>
      </c>
    </row>
    <row r="174" spans="1:5" ht="52.8">
      <c r="A174" s="18">
        <f t="shared" si="7"/>
        <v>25</v>
      </c>
      <c r="B174" s="20" t="s">
        <v>283</v>
      </c>
      <c r="C174" s="21" t="s">
        <v>279</v>
      </c>
      <c r="D174" s="18" t="s">
        <v>284</v>
      </c>
      <c r="E174" s="18">
        <v>5</v>
      </c>
    </row>
    <row r="175" spans="1:5" ht="39.6">
      <c r="A175" s="18">
        <f t="shared" si="7"/>
        <v>26</v>
      </c>
      <c r="B175" s="20" t="s">
        <v>285</v>
      </c>
      <c r="C175" s="21" t="s">
        <v>286</v>
      </c>
      <c r="D175" s="18" t="s">
        <v>287</v>
      </c>
      <c r="E175" s="18">
        <v>1</v>
      </c>
    </row>
    <row r="176" spans="1:5" ht="26.4">
      <c r="A176" s="18">
        <f t="shared" si="7"/>
        <v>27</v>
      </c>
      <c r="B176" s="20" t="s">
        <v>288</v>
      </c>
      <c r="C176" s="21" t="s">
        <v>289</v>
      </c>
      <c r="D176" s="18" t="s">
        <v>290</v>
      </c>
      <c r="E176" s="18">
        <v>1</v>
      </c>
    </row>
    <row r="177" spans="1:5">
      <c r="A177" s="18">
        <f t="shared" si="7"/>
        <v>28</v>
      </c>
      <c r="B177" s="20" t="s">
        <v>291</v>
      </c>
      <c r="C177" s="21" t="s">
        <v>262</v>
      </c>
      <c r="D177" s="18" t="s">
        <v>292</v>
      </c>
      <c r="E177" s="18">
        <v>1</v>
      </c>
    </row>
    <row r="178" spans="1:5" ht="26.4">
      <c r="A178" s="18">
        <f t="shared" si="7"/>
        <v>29</v>
      </c>
      <c r="B178" s="20" t="s">
        <v>293</v>
      </c>
      <c r="C178" s="21" t="s">
        <v>294</v>
      </c>
      <c r="D178" s="18" t="s">
        <v>295</v>
      </c>
      <c r="E178" s="18">
        <v>3</v>
      </c>
    </row>
    <row r="179" spans="1:5" ht="105.6">
      <c r="A179" s="18">
        <f t="shared" si="7"/>
        <v>30</v>
      </c>
      <c r="B179" s="20" t="s">
        <v>296</v>
      </c>
      <c r="C179" s="21" t="s">
        <v>242</v>
      </c>
      <c r="D179" s="18" t="s">
        <v>297</v>
      </c>
      <c r="E179" s="18">
        <v>1</v>
      </c>
    </row>
    <row r="180" spans="1:5" ht="66.599999999999994" thickBot="1">
      <c r="A180" s="18">
        <f t="shared" si="7"/>
        <v>31</v>
      </c>
      <c r="B180" s="24" t="s">
        <v>298</v>
      </c>
      <c r="C180" s="25" t="s">
        <v>279</v>
      </c>
      <c r="D180" s="26" t="s">
        <v>299</v>
      </c>
      <c r="E180" s="26">
        <v>2</v>
      </c>
    </row>
    <row r="181" spans="1:5" ht="39.6">
      <c r="A181" s="18">
        <f t="shared" si="7"/>
        <v>32</v>
      </c>
      <c r="B181" s="30" t="s">
        <v>300</v>
      </c>
      <c r="C181" s="31" t="s">
        <v>279</v>
      </c>
      <c r="D181" s="32" t="s">
        <v>301</v>
      </c>
      <c r="E181" s="32">
        <v>2</v>
      </c>
    </row>
    <row r="182" spans="1:5" ht="26.4">
      <c r="A182" s="18">
        <f t="shared" si="7"/>
        <v>33</v>
      </c>
      <c r="B182" s="20" t="s">
        <v>302</v>
      </c>
      <c r="C182" s="21" t="s">
        <v>274</v>
      </c>
      <c r="D182" s="18" t="s">
        <v>303</v>
      </c>
      <c r="E182" s="18">
        <v>1</v>
      </c>
    </row>
    <row r="183" spans="1:5" ht="39.6">
      <c r="A183" s="18">
        <f t="shared" si="7"/>
        <v>34</v>
      </c>
      <c r="B183" s="20" t="s">
        <v>304</v>
      </c>
      <c r="C183" s="21" t="s">
        <v>248</v>
      </c>
      <c r="D183" s="18" t="s">
        <v>305</v>
      </c>
      <c r="E183" s="18">
        <v>2</v>
      </c>
    </row>
    <row r="184" spans="1:5" ht="39.6">
      <c r="A184" s="18">
        <f t="shared" si="7"/>
        <v>35</v>
      </c>
      <c r="B184" s="33" t="s">
        <v>306</v>
      </c>
      <c r="C184" s="45">
        <v>46107</v>
      </c>
      <c r="D184" s="18" t="s">
        <v>307</v>
      </c>
      <c r="E184" s="18">
        <v>1</v>
      </c>
    </row>
    <row r="185" spans="1:5" ht="26.4">
      <c r="A185" s="18">
        <f t="shared" si="7"/>
        <v>36</v>
      </c>
      <c r="B185" s="20" t="s">
        <v>308</v>
      </c>
      <c r="C185" s="21" t="s">
        <v>274</v>
      </c>
      <c r="D185" s="18" t="s">
        <v>309</v>
      </c>
      <c r="E185" s="18">
        <v>2</v>
      </c>
    </row>
    <row r="186" spans="1:5" ht="26.4">
      <c r="A186" s="18">
        <f t="shared" si="7"/>
        <v>37</v>
      </c>
      <c r="B186" s="27" t="s">
        <v>310</v>
      </c>
      <c r="C186" s="29" t="s">
        <v>274</v>
      </c>
      <c r="D186" s="28" t="s">
        <v>311</v>
      </c>
      <c r="E186" s="28">
        <v>2</v>
      </c>
    </row>
    <row r="187" spans="1:5">
      <c r="A187" s="18">
        <v>38</v>
      </c>
      <c r="B187" s="20" t="s">
        <v>312</v>
      </c>
      <c r="C187" s="21" t="s">
        <v>313</v>
      </c>
      <c r="D187" s="18" t="s">
        <v>314</v>
      </c>
      <c r="E187" s="18">
        <v>3</v>
      </c>
    </row>
    <row r="188" spans="1:5" ht="26.4">
      <c r="A188" s="18">
        <v>39</v>
      </c>
      <c r="B188" s="27" t="s">
        <v>315</v>
      </c>
      <c r="C188" s="29" t="s">
        <v>274</v>
      </c>
      <c r="D188" s="28" t="s">
        <v>316</v>
      </c>
      <c r="E188" s="28">
        <v>2</v>
      </c>
    </row>
    <row r="189" spans="1:5" ht="26.4">
      <c r="A189" s="18">
        <f>A188+1</f>
        <v>40</v>
      </c>
      <c r="B189" s="20" t="s">
        <v>317</v>
      </c>
      <c r="C189" s="21" t="s">
        <v>318</v>
      </c>
      <c r="D189" s="18" t="s">
        <v>318</v>
      </c>
      <c r="E189" s="18">
        <v>1</v>
      </c>
    </row>
    <row r="190" spans="1:5" ht="26.4">
      <c r="A190" s="18">
        <f t="shared" si="7"/>
        <v>41</v>
      </c>
      <c r="B190" s="20" t="s">
        <v>319</v>
      </c>
      <c r="C190" s="21" t="s">
        <v>318</v>
      </c>
      <c r="D190" s="18" t="s">
        <v>318</v>
      </c>
      <c r="E190" s="18">
        <v>1</v>
      </c>
    </row>
    <row r="191" spans="1:5">
      <c r="A191" s="18">
        <f t="shared" si="7"/>
        <v>42</v>
      </c>
      <c r="B191" s="20" t="s">
        <v>320</v>
      </c>
      <c r="C191" s="21" t="s">
        <v>321</v>
      </c>
      <c r="D191" s="18" t="s">
        <v>322</v>
      </c>
      <c r="E191" s="18">
        <v>1</v>
      </c>
    </row>
    <row r="192" spans="1:5">
      <c r="A192" s="18">
        <f t="shared" si="7"/>
        <v>43</v>
      </c>
      <c r="B192" s="20" t="s">
        <v>323</v>
      </c>
      <c r="C192" s="21" t="s">
        <v>39</v>
      </c>
      <c r="D192" s="18" t="s">
        <v>324</v>
      </c>
      <c r="E192" s="18">
        <v>14</v>
      </c>
    </row>
    <row r="193" spans="1:5">
      <c r="A193" s="18">
        <f t="shared" si="7"/>
        <v>44</v>
      </c>
      <c r="B193" s="20" t="s">
        <v>325</v>
      </c>
      <c r="C193" s="21" t="s">
        <v>39</v>
      </c>
      <c r="D193" s="18" t="s">
        <v>326</v>
      </c>
      <c r="E193" s="18">
        <v>2</v>
      </c>
    </row>
    <row r="194" spans="1:5">
      <c r="A194" s="18">
        <f t="shared" si="7"/>
        <v>45</v>
      </c>
      <c r="B194" s="20" t="s">
        <v>327</v>
      </c>
      <c r="C194" s="21" t="s">
        <v>39</v>
      </c>
      <c r="D194" s="18" t="s">
        <v>328</v>
      </c>
      <c r="E194" s="18">
        <v>3</v>
      </c>
    </row>
    <row r="195" spans="1:5">
      <c r="A195" s="18">
        <f t="shared" si="7"/>
        <v>46</v>
      </c>
      <c r="B195" s="20" t="s">
        <v>329</v>
      </c>
      <c r="C195" s="21" t="s">
        <v>39</v>
      </c>
      <c r="D195" s="18" t="s">
        <v>330</v>
      </c>
      <c r="E195" s="18">
        <v>3</v>
      </c>
    </row>
    <row r="196" spans="1:5">
      <c r="A196" s="18">
        <f t="shared" si="7"/>
        <v>47</v>
      </c>
      <c r="B196" s="20" t="s">
        <v>331</v>
      </c>
      <c r="C196" s="21" t="s">
        <v>39</v>
      </c>
      <c r="D196" s="18" t="s">
        <v>332</v>
      </c>
      <c r="E196" s="18">
        <v>4</v>
      </c>
    </row>
    <row r="197" spans="1:5">
      <c r="A197" s="18">
        <f t="shared" si="7"/>
        <v>48</v>
      </c>
      <c r="B197" s="20" t="s">
        <v>333</v>
      </c>
      <c r="C197" s="21" t="s">
        <v>39</v>
      </c>
      <c r="D197" s="18" t="s">
        <v>334</v>
      </c>
      <c r="E197" s="18">
        <v>7</v>
      </c>
    </row>
    <row r="198" spans="1:5">
      <c r="A198" s="18">
        <f t="shared" si="7"/>
        <v>49</v>
      </c>
      <c r="B198" s="20" t="s">
        <v>335</v>
      </c>
      <c r="C198" s="21" t="s">
        <v>39</v>
      </c>
      <c r="D198" s="18" t="s">
        <v>336</v>
      </c>
      <c r="E198" s="18">
        <v>1</v>
      </c>
    </row>
    <row r="199" spans="1:5">
      <c r="A199" s="18">
        <f t="shared" si="7"/>
        <v>50</v>
      </c>
      <c r="B199" s="20" t="s">
        <v>337</v>
      </c>
      <c r="C199" s="21" t="s">
        <v>39</v>
      </c>
      <c r="D199" s="18" t="s">
        <v>338</v>
      </c>
      <c r="E199" s="18">
        <v>1</v>
      </c>
    </row>
    <row r="200" spans="1:5">
      <c r="A200" s="18">
        <f t="shared" si="7"/>
        <v>51</v>
      </c>
      <c r="B200" s="20" t="s">
        <v>339</v>
      </c>
      <c r="C200" s="21" t="s">
        <v>39</v>
      </c>
      <c r="D200" s="18" t="s">
        <v>340</v>
      </c>
      <c r="E200" s="18">
        <v>1</v>
      </c>
    </row>
    <row r="201" spans="1:5">
      <c r="A201" s="18">
        <f t="shared" si="7"/>
        <v>52</v>
      </c>
      <c r="B201" s="20" t="s">
        <v>341</v>
      </c>
      <c r="C201" s="21" t="s">
        <v>39</v>
      </c>
      <c r="D201" s="18" t="s">
        <v>342</v>
      </c>
      <c r="E201" s="18">
        <v>21</v>
      </c>
    </row>
    <row r="202" spans="1:5">
      <c r="A202" s="18">
        <f t="shared" si="7"/>
        <v>53</v>
      </c>
      <c r="B202" s="20" t="s">
        <v>343</v>
      </c>
      <c r="C202" s="21" t="s">
        <v>39</v>
      </c>
      <c r="D202" s="18" t="s">
        <v>344</v>
      </c>
      <c r="E202" s="18">
        <v>6</v>
      </c>
    </row>
    <row r="203" spans="1:5">
      <c r="A203" s="18">
        <f t="shared" si="7"/>
        <v>54</v>
      </c>
      <c r="B203" s="20" t="s">
        <v>345</v>
      </c>
      <c r="C203" s="21" t="s">
        <v>39</v>
      </c>
      <c r="D203" s="18" t="s">
        <v>346</v>
      </c>
      <c r="E203" s="18">
        <v>36</v>
      </c>
    </row>
    <row r="204" spans="1:5">
      <c r="A204" s="18">
        <f t="shared" si="7"/>
        <v>55</v>
      </c>
      <c r="B204" s="20" t="s">
        <v>347</v>
      </c>
      <c r="C204" s="21" t="s">
        <v>39</v>
      </c>
      <c r="D204" s="18" t="s">
        <v>348</v>
      </c>
      <c r="E204" s="18">
        <v>19</v>
      </c>
    </row>
    <row r="205" spans="1:5">
      <c r="A205" s="18">
        <f t="shared" si="7"/>
        <v>56</v>
      </c>
      <c r="B205" s="20" t="s">
        <v>349</v>
      </c>
      <c r="C205" s="21" t="s">
        <v>39</v>
      </c>
      <c r="D205" s="18" t="s">
        <v>350</v>
      </c>
      <c r="E205" s="18">
        <v>1</v>
      </c>
    </row>
    <row r="206" spans="1:5">
      <c r="A206" s="18">
        <f t="shared" si="7"/>
        <v>57</v>
      </c>
      <c r="B206" s="20" t="s">
        <v>351</v>
      </c>
      <c r="C206" s="21" t="s">
        <v>39</v>
      </c>
      <c r="D206" s="18" t="s">
        <v>352</v>
      </c>
      <c r="E206" s="18">
        <v>1</v>
      </c>
    </row>
    <row r="207" spans="1:5">
      <c r="A207" s="18">
        <f t="shared" si="7"/>
        <v>58</v>
      </c>
      <c r="B207" s="20" t="s">
        <v>353</v>
      </c>
      <c r="C207" s="21" t="s">
        <v>354</v>
      </c>
      <c r="D207" s="18" t="s">
        <v>355</v>
      </c>
      <c r="E207" s="18">
        <v>11</v>
      </c>
    </row>
    <row r="208" spans="1:5">
      <c r="A208" s="18">
        <f t="shared" si="7"/>
        <v>59</v>
      </c>
      <c r="B208" s="20" t="s">
        <v>356</v>
      </c>
      <c r="C208" s="21" t="s">
        <v>357</v>
      </c>
      <c r="D208" s="18" t="s">
        <v>358</v>
      </c>
      <c r="E208" s="18">
        <v>2</v>
      </c>
    </row>
    <row r="209" spans="1:5">
      <c r="A209" s="18">
        <f t="shared" si="7"/>
        <v>60</v>
      </c>
      <c r="B209" s="20" t="s">
        <v>359</v>
      </c>
      <c r="C209" s="21" t="s">
        <v>360</v>
      </c>
      <c r="D209" s="18" t="s">
        <v>361</v>
      </c>
      <c r="E209" s="18">
        <v>2</v>
      </c>
    </row>
    <row r="210" spans="1:5" ht="26.4">
      <c r="A210" s="18">
        <f t="shared" si="7"/>
        <v>61</v>
      </c>
      <c r="B210" s="20" t="s">
        <v>362</v>
      </c>
      <c r="C210" s="21" t="s">
        <v>165</v>
      </c>
      <c r="D210" s="18">
        <v>1020000000</v>
      </c>
      <c r="E210" s="18">
        <v>250</v>
      </c>
    </row>
    <row r="211" spans="1:5">
      <c r="A211" s="18">
        <f t="shared" si="7"/>
        <v>62</v>
      </c>
      <c r="B211" s="20" t="s">
        <v>363</v>
      </c>
      <c r="C211" s="21" t="s">
        <v>165</v>
      </c>
      <c r="D211" s="18">
        <v>1050000000</v>
      </c>
      <c r="E211" s="18">
        <v>4</v>
      </c>
    </row>
    <row r="212" spans="1:5">
      <c r="A212" s="18">
        <f t="shared" si="7"/>
        <v>63</v>
      </c>
      <c r="B212" s="20" t="s">
        <v>364</v>
      </c>
      <c r="C212" s="21" t="s">
        <v>165</v>
      </c>
      <c r="D212" s="18">
        <v>1061200000</v>
      </c>
      <c r="E212" s="18">
        <v>4</v>
      </c>
    </row>
    <row r="213" spans="1:5">
      <c r="A213" s="18">
        <f t="shared" si="7"/>
        <v>64</v>
      </c>
      <c r="B213" s="20" t="s">
        <v>365</v>
      </c>
      <c r="C213" s="21" t="s">
        <v>165</v>
      </c>
      <c r="D213" s="18" t="s">
        <v>366</v>
      </c>
      <c r="E213" s="18">
        <v>3</v>
      </c>
    </row>
    <row r="214" spans="1:5">
      <c r="A214" s="18">
        <f t="shared" si="7"/>
        <v>65</v>
      </c>
      <c r="B214" s="20" t="s">
        <v>367</v>
      </c>
      <c r="C214" s="21" t="s">
        <v>165</v>
      </c>
      <c r="D214" s="18">
        <v>1527730000</v>
      </c>
      <c r="E214" s="18">
        <v>4</v>
      </c>
    </row>
    <row r="215" spans="1:5" ht="15.6">
      <c r="A215" s="49" t="s">
        <v>368</v>
      </c>
      <c r="B215" s="50"/>
      <c r="C215" s="50"/>
      <c r="D215" s="50"/>
      <c r="E215" s="50"/>
    </row>
    <row r="216" spans="1:5" ht="26.4">
      <c r="A216" s="18">
        <v>66</v>
      </c>
      <c r="B216" s="20" t="s">
        <v>369</v>
      </c>
      <c r="C216" s="21" t="s">
        <v>318</v>
      </c>
      <c r="D216" s="18" t="s">
        <v>318</v>
      </c>
      <c r="E216" s="18">
        <v>1</v>
      </c>
    </row>
    <row r="217" spans="1:5" ht="26.4">
      <c r="A217" s="18">
        <f>A216+1</f>
        <v>67</v>
      </c>
      <c r="B217" s="20" t="s">
        <v>362</v>
      </c>
      <c r="C217" s="21" t="s">
        <v>165</v>
      </c>
      <c r="D217" s="18">
        <v>1020000000</v>
      </c>
      <c r="E217" s="18">
        <v>16</v>
      </c>
    </row>
    <row r="218" spans="1:5">
      <c r="A218" s="18">
        <f t="shared" ref="A218:A229" si="8">A217+1</f>
        <v>68</v>
      </c>
      <c r="B218" s="20" t="s">
        <v>363</v>
      </c>
      <c r="C218" s="21" t="s">
        <v>165</v>
      </c>
      <c r="D218" s="18">
        <v>1050000000</v>
      </c>
      <c r="E218" s="18">
        <v>3</v>
      </c>
    </row>
    <row r="219" spans="1:5">
      <c r="A219" s="18">
        <f t="shared" si="8"/>
        <v>69</v>
      </c>
      <c r="B219" s="20" t="s">
        <v>364</v>
      </c>
      <c r="C219" s="21" t="s">
        <v>165</v>
      </c>
      <c r="D219" s="18">
        <v>1061200000</v>
      </c>
      <c r="E219" s="18">
        <v>8</v>
      </c>
    </row>
    <row r="220" spans="1:5">
      <c r="A220" s="18">
        <f t="shared" si="8"/>
        <v>70</v>
      </c>
      <c r="B220" s="20" t="s">
        <v>365</v>
      </c>
      <c r="C220" s="21" t="s">
        <v>165</v>
      </c>
      <c r="D220" s="18">
        <v>292460000</v>
      </c>
      <c r="E220" s="18">
        <v>3</v>
      </c>
    </row>
    <row r="221" spans="1:5" ht="26.4">
      <c r="A221" s="18">
        <f t="shared" si="8"/>
        <v>71</v>
      </c>
      <c r="B221" s="20" t="s">
        <v>370</v>
      </c>
      <c r="C221" s="21" t="s">
        <v>39</v>
      </c>
      <c r="D221" s="18" t="s">
        <v>371</v>
      </c>
      <c r="E221" s="18">
        <v>1</v>
      </c>
    </row>
    <row r="222" spans="1:5" ht="26.4">
      <c r="A222" s="18">
        <f t="shared" si="8"/>
        <v>72</v>
      </c>
      <c r="B222" s="20" t="s">
        <v>372</v>
      </c>
      <c r="C222" s="21" t="s">
        <v>39</v>
      </c>
      <c r="D222" s="18" t="s">
        <v>373</v>
      </c>
      <c r="E222" s="18">
        <v>1</v>
      </c>
    </row>
    <row r="223" spans="1:5">
      <c r="A223" s="18">
        <f t="shared" si="8"/>
        <v>73</v>
      </c>
      <c r="B223" s="20" t="s">
        <v>374</v>
      </c>
      <c r="C223" s="21" t="s">
        <v>39</v>
      </c>
      <c r="D223" s="18" t="s">
        <v>375</v>
      </c>
      <c r="E223" s="18">
        <v>1</v>
      </c>
    </row>
    <row r="224" spans="1:5">
      <c r="A224" s="18">
        <f t="shared" si="8"/>
        <v>74</v>
      </c>
      <c r="B224" s="20" t="s">
        <v>376</v>
      </c>
      <c r="C224" s="21" t="s">
        <v>39</v>
      </c>
      <c r="D224" s="18" t="s">
        <v>377</v>
      </c>
      <c r="E224" s="18">
        <v>1</v>
      </c>
    </row>
    <row r="225" spans="1:5">
      <c r="A225" s="18">
        <f t="shared" si="8"/>
        <v>75</v>
      </c>
      <c r="B225" s="20" t="s">
        <v>378</v>
      </c>
      <c r="C225" s="21" t="s">
        <v>39</v>
      </c>
      <c r="D225" s="18" t="s">
        <v>379</v>
      </c>
      <c r="E225" s="18">
        <v>1</v>
      </c>
    </row>
    <row r="226" spans="1:5">
      <c r="A226" s="18">
        <f t="shared" si="8"/>
        <v>76</v>
      </c>
      <c r="B226" s="20" t="s">
        <v>378</v>
      </c>
      <c r="C226" s="21" t="s">
        <v>39</v>
      </c>
      <c r="D226" s="18" t="s">
        <v>380</v>
      </c>
      <c r="E226" s="18">
        <v>1</v>
      </c>
    </row>
    <row r="227" spans="1:5">
      <c r="A227" s="18">
        <f t="shared" si="8"/>
        <v>77</v>
      </c>
      <c r="B227" s="20" t="s">
        <v>381</v>
      </c>
      <c r="C227" s="21" t="s">
        <v>39</v>
      </c>
      <c r="D227" s="18" t="s">
        <v>382</v>
      </c>
      <c r="E227" s="18">
        <v>2</v>
      </c>
    </row>
    <row r="228" spans="1:5">
      <c r="A228" s="18">
        <f t="shared" si="8"/>
        <v>78</v>
      </c>
      <c r="B228" s="20" t="s">
        <v>383</v>
      </c>
      <c r="C228" s="18" t="s">
        <v>39</v>
      </c>
      <c r="D228" s="18" t="s">
        <v>384</v>
      </c>
      <c r="E228" s="18">
        <v>1</v>
      </c>
    </row>
    <row r="229" spans="1:5">
      <c r="A229" s="18">
        <f t="shared" si="8"/>
        <v>79</v>
      </c>
      <c r="B229" s="20" t="s">
        <v>385</v>
      </c>
      <c r="C229" s="18" t="s">
        <v>39</v>
      </c>
      <c r="D229" s="18" t="s">
        <v>386</v>
      </c>
      <c r="E229" s="18">
        <v>1</v>
      </c>
    </row>
    <row r="230" spans="1:5" ht="15.6">
      <c r="A230" s="49" t="s">
        <v>387</v>
      </c>
      <c r="B230" s="50"/>
      <c r="C230" s="50"/>
      <c r="D230" s="50"/>
      <c r="E230" s="50"/>
    </row>
    <row r="231" spans="1:5">
      <c r="A231" s="18">
        <v>80</v>
      </c>
      <c r="B231" s="20" t="s">
        <v>388</v>
      </c>
      <c r="C231" s="18" t="s">
        <v>165</v>
      </c>
      <c r="D231" s="18">
        <v>1194830000</v>
      </c>
      <c r="E231" s="18">
        <v>1</v>
      </c>
    </row>
    <row r="232" spans="1:5" ht="26.4">
      <c r="A232" s="18">
        <f>A231+1</f>
        <v>81</v>
      </c>
      <c r="B232" s="20" t="s">
        <v>389</v>
      </c>
      <c r="C232" s="18" t="s">
        <v>165</v>
      </c>
      <c r="D232" s="18">
        <v>8731660000</v>
      </c>
      <c r="E232" s="18">
        <v>28</v>
      </c>
    </row>
    <row r="233" spans="1:5">
      <c r="A233" s="18">
        <f t="shared" ref="A233:A235" si="9">A232+1</f>
        <v>82</v>
      </c>
      <c r="B233" s="20" t="s">
        <v>363</v>
      </c>
      <c r="C233" s="18" t="s">
        <v>165</v>
      </c>
      <c r="D233" s="18">
        <v>1050000000</v>
      </c>
      <c r="E233" s="18">
        <v>1</v>
      </c>
    </row>
    <row r="234" spans="1:5">
      <c r="A234" s="18">
        <f t="shared" si="9"/>
        <v>83</v>
      </c>
      <c r="B234" s="20" t="s">
        <v>364</v>
      </c>
      <c r="C234" s="18" t="s">
        <v>165</v>
      </c>
      <c r="D234" s="18">
        <v>1061200000</v>
      </c>
      <c r="E234" s="18">
        <v>2</v>
      </c>
    </row>
    <row r="235" spans="1:5">
      <c r="A235" s="18">
        <f t="shared" si="9"/>
        <v>84</v>
      </c>
      <c r="B235" s="20" t="s">
        <v>365</v>
      </c>
      <c r="C235" s="18" t="s">
        <v>165</v>
      </c>
      <c r="D235" s="19" t="s">
        <v>366</v>
      </c>
      <c r="E235" s="18">
        <v>1</v>
      </c>
    </row>
    <row r="236" spans="1:5" ht="15.6">
      <c r="A236" s="49" t="s">
        <v>390</v>
      </c>
      <c r="B236" s="50"/>
      <c r="C236" s="50"/>
      <c r="D236" s="50"/>
      <c r="E236" s="50"/>
    </row>
    <row r="237" spans="1:5">
      <c r="A237" s="18">
        <v>85</v>
      </c>
      <c r="B237" s="20" t="s">
        <v>391</v>
      </c>
      <c r="C237" s="18" t="s">
        <v>165</v>
      </c>
      <c r="D237" s="18">
        <v>1194610000</v>
      </c>
      <c r="E237" s="18">
        <v>1</v>
      </c>
    </row>
    <row r="238" spans="1:5" ht="26.4">
      <c r="A238" s="18">
        <f>A237+1</f>
        <v>86</v>
      </c>
      <c r="B238" s="20" t="s">
        <v>362</v>
      </c>
      <c r="C238" s="18" t="s">
        <v>165</v>
      </c>
      <c r="D238" s="18">
        <v>1020000000</v>
      </c>
      <c r="E238" s="18">
        <v>8</v>
      </c>
    </row>
    <row r="239" spans="1:5">
      <c r="A239" s="18">
        <f t="shared" ref="A239:A242" si="10">A238+1</f>
        <v>87</v>
      </c>
      <c r="B239" s="20" t="s">
        <v>363</v>
      </c>
      <c r="C239" s="18" t="s">
        <v>165</v>
      </c>
      <c r="D239" s="18">
        <v>1050000000</v>
      </c>
      <c r="E239" s="18">
        <v>2</v>
      </c>
    </row>
    <row r="240" spans="1:5">
      <c r="A240" s="18">
        <f t="shared" si="10"/>
        <v>88</v>
      </c>
      <c r="B240" s="20" t="s">
        <v>364</v>
      </c>
      <c r="C240" s="18" t="s">
        <v>165</v>
      </c>
      <c r="D240" s="18">
        <v>1061200000</v>
      </c>
      <c r="E240" s="18">
        <v>4</v>
      </c>
    </row>
    <row r="241" spans="1:5">
      <c r="A241" s="18">
        <f t="shared" si="10"/>
        <v>89</v>
      </c>
      <c r="B241" s="20" t="s">
        <v>365</v>
      </c>
      <c r="C241" s="18" t="s">
        <v>165</v>
      </c>
      <c r="D241" s="18">
        <v>292460000</v>
      </c>
      <c r="E241" s="18">
        <v>2</v>
      </c>
    </row>
    <row r="242" spans="1:5" ht="26.4">
      <c r="A242" s="18">
        <f t="shared" si="10"/>
        <v>90</v>
      </c>
      <c r="B242" s="20" t="s">
        <v>392</v>
      </c>
      <c r="C242" s="18" t="s">
        <v>39</v>
      </c>
      <c r="D242" s="18" t="s">
        <v>393</v>
      </c>
      <c r="E242" s="18">
        <v>1</v>
      </c>
    </row>
    <row r="255" spans="1:5">
      <c r="D255" s="1"/>
    </row>
  </sheetData>
  <mergeCells count="18">
    <mergeCell ref="A145:E148"/>
    <mergeCell ref="A215:E215"/>
    <mergeCell ref="A230:E230"/>
    <mergeCell ref="A236:E236"/>
    <mergeCell ref="A105:E105"/>
    <mergeCell ref="A106:E106"/>
    <mergeCell ref="A124:E124"/>
    <mergeCell ref="A134:E134"/>
    <mergeCell ref="A96:E96"/>
    <mergeCell ref="A99:E99"/>
    <mergeCell ref="A103:E103"/>
    <mergeCell ref="A101:E101"/>
    <mergeCell ref="A93:E93"/>
    <mergeCell ref="A1:E1"/>
    <mergeCell ref="A3:E3"/>
    <mergeCell ref="A36:E36"/>
    <mergeCell ref="A61:E61"/>
    <mergeCell ref="A67:E67"/>
  </mergeCells>
  <conditionalFormatting sqref="D40">
    <cfRule type="duplicateValues" dxfId="5" priority="7"/>
  </conditionalFormatting>
  <conditionalFormatting sqref="D54:D55">
    <cfRule type="duplicateValues" dxfId="4" priority="6"/>
  </conditionalFormatting>
  <conditionalFormatting sqref="D100">
    <cfRule type="duplicateValues" dxfId="3" priority="1"/>
    <cfRule type="duplicateValues" dxfId="2" priority="2"/>
  </conditionalFormatting>
  <conditionalFormatting sqref="D256:D1048576 D41:D53 D56:D99 D101:D254 D1:D39">
    <cfRule type="duplicateValues" dxfId="1" priority="8"/>
  </conditionalFormatting>
  <conditionalFormatting sqref="D256:D1048576 D101:D254 D1:D99">
    <cfRule type="duplicateValues" dxfId="0" priority="5"/>
  </conditionalFormatting>
  <pageMargins left="0.55118110236220474" right="0.35433070866141736" top="0.78740157480314965" bottom="0.78740157480314965" header="0.51181102362204722" footer="0.51181102362204722"/>
  <pageSetup scale="69" fitToHeight="3" orientation="portrait" r:id="rId1"/>
  <headerFooter alignWithMargins="0">
    <oddHeader>&amp;LDocument Number/ Номер документа :090-2010-JJJ-BOM-20001-01&amp;RRevision / Редакция: U01</oddHeader>
    <oddFooter>&amp;R&amp;8Page &amp;P of &amp;N</oddFooter>
  </headerFooter>
  <rowBreaks count="1" manualBreakCount="1">
    <brk id="6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915b1d-8740-44a4-ab47-a5afdd5a8a0d" xsi:nil="true"/>
    <lcf76f155ced4ddcb4097134ff3c332f xmlns="d4915b1d-8740-44a4-ab47-a5afdd5a8a0d">
      <Terms xmlns="http://schemas.microsoft.com/office/infopath/2007/PartnerControls"/>
    </lcf76f155ced4ddcb4097134ff3c332f>
    <TaxCatchAll xmlns="06a7953e-eb6a-48d2-a0e7-8af4be6ba6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B3049F755794094ED82A1358BE2E9" ma:contentTypeVersion="16" ma:contentTypeDescription="Create a new document." ma:contentTypeScope="" ma:versionID="e68c865051ccede889fd78afc97c8588">
  <xsd:schema xmlns:xsd="http://www.w3.org/2001/XMLSchema" xmlns:xs="http://www.w3.org/2001/XMLSchema" xmlns:p="http://schemas.microsoft.com/office/2006/metadata/properties" xmlns:ns2="d4915b1d-8740-44a4-ab47-a5afdd5a8a0d" xmlns:ns3="13937016-9233-4d71-ae67-b53be6970697" xmlns:ns4="06a7953e-eb6a-48d2-a0e7-8af4be6ba6d6" targetNamespace="http://schemas.microsoft.com/office/2006/metadata/properties" ma:root="true" ma:fieldsID="941f6945ae75f098b6ec1aa47a8161e6" ns2:_="" ns3:_="" ns4:_="">
    <xsd:import namespace="d4915b1d-8740-44a4-ab47-a5afdd5a8a0d"/>
    <xsd:import namespace="13937016-9233-4d71-ae67-b53be6970697"/>
    <xsd:import namespace="06a7953e-eb6a-48d2-a0e7-8af4be6ba6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15b1d-8740-44a4-ab47-a5afdd5a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779ed23-c767-4e72-983f-1dd267a4d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37016-9233-4d71-ae67-b53be6970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7953e-eb6a-48d2-a0e7-8af4be6ba6d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549cc77-e05a-4193-963e-ed360f7b2520}" ma:internalName="TaxCatchAll" ma:showField="CatchAllData" ma:web="06a7953e-eb6a-48d2-a0e7-8af4be6ba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2A2CF8-6792-4F1A-AF29-0B0E425F9E2F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6a7953e-eb6a-48d2-a0e7-8af4be6ba6d6"/>
    <ds:schemaRef ds:uri="http://purl.org/dc/dcmitype/"/>
    <ds:schemaRef ds:uri="http://schemas.microsoft.com/office/infopath/2007/PartnerControls"/>
    <ds:schemaRef ds:uri="13937016-9233-4d71-ae67-b53be6970697"/>
    <ds:schemaRef ds:uri="d4915b1d-8740-44a4-ab47-a5afdd5a8a0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A9CEE3-0CCA-436D-A985-25B7B97292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6B06A-222F-4E5E-BE2F-E31DBA91F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15b1d-8740-44a4-ab47-a5afdd5a8a0d"/>
    <ds:schemaRef ds:uri="13937016-9233-4d71-ae67-b53be6970697"/>
    <ds:schemaRef ds:uri="06a7953e-eb6a-48d2-a0e7-8af4be6ba6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MW &amp; WHCP </vt:lpstr>
      <vt:lpstr>'MW &amp; WHCP '!Print_Area</vt:lpstr>
      <vt:lpstr>'MW &amp; WHCP '!Print_Titles</vt:lpstr>
    </vt:vector>
  </TitlesOfParts>
  <Manager/>
  <Company>4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</dc:creator>
  <cp:keywords/>
  <dc:description/>
  <cp:lastModifiedBy>Zeeshan Yaqoob</cp:lastModifiedBy>
  <cp:revision/>
  <cp:lastPrinted>2026-03-26T10:00:19Z</cp:lastPrinted>
  <dcterms:created xsi:type="dcterms:W3CDTF">2001-10-18T12:00:47Z</dcterms:created>
  <dcterms:modified xsi:type="dcterms:W3CDTF">2026-07-07T11:06:12Z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0x0101000F7B3049F755794094ED82A1358BE2E9</vt:lpwstr>
  </property>
  <property fmtid="{D5CDD505-2E9C-101B-9397-08002B2CF9AE}" pid="3" name="MediaServiceImageTags">
    <vt:lpwstr/>
  </property>
</Properties>
</file>